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2.xml" ContentType="application/vnd.openxmlformats-officedocument.spreadsheetml.table+xml"/>
  <Override PartName="/xl/queryTables/queryTable2.xml" ContentType="application/vnd.openxmlformats-officedocument.spreadsheetml.query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DATA ANALYSIS RESOURCES\Simons Data File\"/>
    </mc:Choice>
  </mc:AlternateContent>
  <xr:revisionPtr revIDLastSave="0" documentId="13_ncr:1_{F4753D51-C71F-4CC8-AB89-24C13AFC9FA9}" xr6:coauthVersionLast="47" xr6:coauthVersionMax="47" xr10:uidLastSave="{00000000-0000-0000-0000-000000000000}"/>
  <bookViews>
    <workbookView xWindow="348" yWindow="348" windowWidth="17280" windowHeight="8880" activeTab="2" xr2:uid="{FE51E466-9D77-461B-8966-690F07FF6B57}"/>
  </bookViews>
  <sheets>
    <sheet name="Main Table" sheetId="1" r:id="rId1"/>
    <sheet name="Data Preparation" sheetId="2" r:id="rId2"/>
    <sheet name="Dashboard" sheetId="7" r:id="rId3"/>
  </sheets>
  <definedNames>
    <definedName name="ExternalData_1" localSheetId="0" hidden="1">'Main Table'!$A$1:$L$16</definedName>
    <definedName name="ExternalData_2" localSheetId="1" hidden="1">'Data Preparation'!$O$3:$Q$18</definedName>
    <definedName name="_xlnm.Print_Area" localSheetId="2">Dashboard!$A$1:$N$35</definedName>
    <definedName name="Slicer_Date">#N/A</definedName>
  </definedNames>
  <calcPr calcId="191029"/>
  <pivotCaches>
    <pivotCache cacheId="38" r:id="rId4"/>
    <pivotCache cacheId="42"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 i="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291ADF5-D73E-49B7-8BAA-B3D4348E4EB9}" keepAlive="1" name="Query - Conditions Table" description="Connection to the 'Conditions Table' query in the workbook." type="5" refreshedVersion="8" background="1" saveData="1">
    <dbPr connection="Provider=Microsoft.Mashup.OleDb.1;Data Source=$Workbook$;Location=&quot;Conditions Table&quot;;Extended Properties=&quot;&quot;" command="SELECT * FROM [Conditions Table]"/>
  </connection>
  <connection id="2" xr16:uid="{E0E1CA11-9C82-4A7E-A27A-AEE0DFF8C076}" keepAlive="1" name="Query - Source Table" description="Connection to the 'Source Table' query in the workbook." type="5" refreshedVersion="8" background="1" refreshOnLoad="1" saveData="1">
    <dbPr connection="Provider=Microsoft.Mashup.OleDb.1;Data Source=$Workbook$;Location=&quot;Source Table&quot;;Extended Properties=&quot;&quot;" command="SELECT * FROM [Source Table]"/>
  </connection>
</connections>
</file>

<file path=xl/sharedStrings.xml><?xml version="1.0" encoding="utf-8"?>
<sst xmlns="http://schemas.openxmlformats.org/spreadsheetml/2006/main" count="136" uniqueCount="57">
  <si>
    <t>Date</t>
  </si>
  <si>
    <t>Max Temp(°F)</t>
  </si>
  <si>
    <t>Min Temp(°F)</t>
  </si>
  <si>
    <t>Humidity</t>
  </si>
  <si>
    <t>Precipitation</t>
  </si>
  <si>
    <t>Wind Speed</t>
  </si>
  <si>
    <t>UV Index</t>
  </si>
  <si>
    <t>Sunrise</t>
  </si>
  <si>
    <t>Sunset</t>
  </si>
  <si>
    <t>Conditions</t>
  </si>
  <si>
    <t>Description</t>
  </si>
  <si>
    <t>Rain, Partially cloudy</t>
  </si>
  <si>
    <t>Rain, Overcast</t>
  </si>
  <si>
    <t>Grand Total</t>
  </si>
  <si>
    <t>Wind_Speed</t>
  </si>
  <si>
    <t>Humidity_</t>
  </si>
  <si>
    <t>Precipitation_</t>
  </si>
  <si>
    <t>Count of Conditions</t>
  </si>
  <si>
    <t>Temp(°F)</t>
  </si>
  <si>
    <t>Max_Temp</t>
  </si>
  <si>
    <t>Min_Temp</t>
  </si>
  <si>
    <t>Temp_</t>
  </si>
  <si>
    <t>Date-Climate Description</t>
  </si>
  <si>
    <t>Cloudy skies throughout the day with storms possible.</t>
  </si>
  <si>
    <t>Partly cloudy throughout the day with storms possible.</t>
  </si>
  <si>
    <t>06:11:08</t>
  </si>
  <si>
    <t>06:11:05</t>
  </si>
  <si>
    <t>06:10:58</t>
  </si>
  <si>
    <t>06:10:57</t>
  </si>
  <si>
    <t>06:10:56</t>
  </si>
  <si>
    <t>18:08:23</t>
  </si>
  <si>
    <t>18:07:49</t>
  </si>
  <si>
    <t>18:07:15</t>
  </si>
  <si>
    <t>06:11:00</t>
  </si>
  <si>
    <t>18:06:41</t>
  </si>
  <si>
    <t>06:11:02</t>
  </si>
  <si>
    <t>18:06:09</t>
  </si>
  <si>
    <t>18:05:36</t>
  </si>
  <si>
    <t>18:05:04</t>
  </si>
  <si>
    <t>Becoming cloudy in the afternoon with storms possible.</t>
  </si>
  <si>
    <t>06:11:12</t>
  </si>
  <si>
    <t>18:04:33</t>
  </si>
  <si>
    <t>06:11:16</t>
  </si>
  <si>
    <t>18:04:03</t>
  </si>
  <si>
    <t>06:11:21</t>
  </si>
  <si>
    <t>18:03:33</t>
  </si>
  <si>
    <t>06:11:26</t>
  </si>
  <si>
    <t>18:03:04</t>
  </si>
  <si>
    <t>Cloudy skies throughout the day with a chance of rain.</t>
  </si>
  <si>
    <t>06:11:32</t>
  </si>
  <si>
    <t>18:02:35</t>
  </si>
  <si>
    <t>06:11:39</t>
  </si>
  <si>
    <t>18:02:07</t>
  </si>
  <si>
    <t>06:11:46</t>
  </si>
  <si>
    <t>18:01:40</t>
  </si>
  <si>
    <t>06:11:53</t>
  </si>
  <si>
    <t>18:01:14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</si>
</sst>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400]h:mm:ss\ AM/PM"/>
    <numFmt numFmtId="165" formatCode="0.0"/>
  </numFmts>
  <fonts count="2" x14ac:knownFonts="1">
    <font>
      <sz val="11"/>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14" fontId="0" fillId="0" borderId="0" xfId="0" applyNumberFormat="1"/>
    <xf numFmtId="0" fontId="0" fillId="0" borderId="0" xfId="0" pivotButton="1"/>
    <xf numFmtId="14" fontId="0" fillId="0" borderId="0" xfId="0" applyNumberFormat="1" applyAlignment="1">
      <alignment horizontal="left"/>
    </xf>
    <xf numFmtId="0" fontId="0" fillId="0" borderId="0" xfId="0" applyAlignment="1">
      <alignment horizontal="left"/>
    </xf>
    <xf numFmtId="0" fontId="0" fillId="0" borderId="0" xfId="0" applyAlignment="1">
      <alignment horizontal="left" indent="1"/>
    </xf>
    <xf numFmtId="0" fontId="1" fillId="0" borderId="0" xfId="0" applyFont="1"/>
    <xf numFmtId="165" fontId="0" fillId="0" borderId="0" xfId="0" applyNumberFormat="1"/>
    <xf numFmtId="0" fontId="0" fillId="0" borderId="0" xfId="0" applyNumberFormat="1"/>
  </cellXfs>
  <cellStyles count="1">
    <cellStyle name="Normal" xfId="0" builtinId="0"/>
  </cellStyles>
  <dxfs count="17">
    <dxf>
      <numFmt numFmtId="19" formatCode="dd/mm/yyyy"/>
    </dxf>
    <dxf>
      <numFmt numFmtId="19" formatCode="dd/mm/yyyy"/>
    </dxf>
    <dxf>
      <numFmt numFmtId="165" formatCode="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sz val="12"/>
        <name val="Source Sans Pro"/>
        <family val="2"/>
        <scheme val="none"/>
      </font>
      <fill>
        <patternFill>
          <bgColor rgb="FFAED6F1"/>
        </patternFill>
      </fill>
    </dxf>
    <dxf>
      <font>
        <color rgb="FF1B4F72"/>
        <name val="Source Sans Pro"/>
        <family val="2"/>
        <scheme val="none"/>
      </font>
      <fill>
        <patternFill>
          <bgColor rgb="FFF9F9F9"/>
        </patternFill>
      </fill>
    </dxf>
    <dxf>
      <font>
        <b/>
        <color theme="1"/>
      </font>
      <fill>
        <patternFill>
          <bgColor rgb="FFE5E8E8"/>
        </patternFill>
      </fill>
      <border>
        <bottom style="thin">
          <color theme="4"/>
        </bottom>
        <vertical/>
        <horizontal/>
      </border>
    </dxf>
    <dxf>
      <font>
        <b val="0"/>
        <i val="0"/>
        <sz val="12"/>
        <color rgb="FF2C3E50"/>
        <name val="Source Sans Pro"/>
        <family val="2"/>
        <scheme val="none"/>
      </font>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Neutral Theme" pivot="0" table="0" count="10" xr9:uid="{65F85196-B505-42AE-8B0D-D315B7B63708}">
      <tableStyleElement type="wholeTable" dxfId="16"/>
      <tableStyleElement type="headerRow" dxfId="15"/>
    </tableStyle>
    <tableStyle name="Slicer Style 1" pivot="0" table="0" count="5" xr9:uid="{6978474C-5960-4545-9FCF-00F63B4722EB}">
      <tableStyleElement type="wholeTable" dxfId="14"/>
      <tableStyleElement type="headerRow" dxfId="13"/>
    </tableStyle>
  </tableStyles>
  <colors>
    <mruColors>
      <color rgb="FFF9F9F9"/>
      <color rgb="FF00B8D9"/>
      <color rgb="FFECF0F1"/>
      <color rgb="FF3489DB"/>
      <color rgb="FF1F618D"/>
      <color rgb="FF95A5A6"/>
      <color rgb="FF3498DB"/>
      <color rgb="FFF2F3F4"/>
      <color rgb="FF1B4F72"/>
      <color rgb="FFE5E8E8"/>
    </mruColors>
  </colors>
  <extLst>
    <ext xmlns:x14="http://schemas.microsoft.com/office/spreadsheetml/2009/9/main" uri="{46F421CA-312F-682f-3DD2-61675219B42D}">
      <x14:dxfs count="11">
        <dxf>
          <fill>
            <patternFill>
              <bgColor rgb="FFD6EAF8"/>
            </patternFill>
          </fill>
        </dxf>
        <dxf>
          <fill>
            <patternFill>
              <bgColor rgb="FF00B8D9"/>
            </patternFill>
          </fill>
        </dxf>
        <dxf>
          <fill>
            <patternFill>
              <bgColor rgb="FF3489DB"/>
            </patternFill>
          </fill>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F2F3F4"/>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AAB7B8"/>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Neutral Theme">
          <x14:slicerStyleElements>
            <x14:slicerStyleElement type="unselectedItemWithData" dxfId="10"/>
            <x14:slicerStyleElement type="unselectedItemWithNoData" dxfId="9"/>
            <x14:slicerStyleElement type="selectedItemWithData" dxfId="8"/>
            <x14:slicerStyleElement type="selectedItemWithNoData" dxfId="7"/>
            <x14:slicerStyleElement type="hoveredUnselectedItemWithData" dxfId="6"/>
            <x14:slicerStyleElement type="hoveredSelectedItemWithData" dxfId="5"/>
            <x14:slicerStyleElement type="hoveredUnselectedItemWithNoData" dxfId="4"/>
            <x14:slicerStyleElement type="hoveredSelectedItemWithNoData" dxfId="3"/>
          </x14:slicerStyleElements>
        </x14:slicerStyle>
        <x14:slicerStyle name="Slicer Style 1">
          <x14:slicerStyleElements>
            <x14:slicerStyleElement type="unselectedItemWithData" dxfId="2"/>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2.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[Weather Data(1).xlsm]Data Preparation!Conditions_Table</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1"/>
                </a:solidFill>
                <a:latin typeface="Source Sans Pro" panose="020B0503030403020204" pitchFamily="34" charset="0"/>
                <a:ea typeface="Source Sans Pro" panose="020B0503030403020204" pitchFamily="34" charset="0"/>
              </a:rPr>
              <a:t>Climatic</a:t>
            </a:r>
            <a:r>
              <a:rPr lang="en-US" sz="1600" b="1" baseline="0">
                <a:solidFill>
                  <a:schemeClr val="tx1"/>
                </a:solidFill>
                <a:latin typeface="Source Sans Pro" panose="020B0503030403020204" pitchFamily="34" charset="0"/>
                <a:ea typeface="Source Sans Pro" panose="020B0503030403020204" pitchFamily="34" charset="0"/>
              </a:rPr>
              <a:t> </a:t>
            </a:r>
            <a:r>
              <a:rPr lang="en-US" sz="1600" b="1">
                <a:solidFill>
                  <a:schemeClr val="tx1"/>
                </a:solidFill>
                <a:latin typeface="Source Sans Pro" panose="020B0503030403020204" pitchFamily="34" charset="0"/>
                <a:ea typeface="Source Sans Pro" panose="020B0503030403020204" pitchFamily="34" charset="0"/>
              </a:rPr>
              <a:t>Conditions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8D9"/>
          </a:solidFill>
          <a:ln w="19050">
            <a:solidFill>
              <a:schemeClr val="lt1"/>
            </a:solidFill>
          </a:ln>
          <a:effectLst/>
        </c:spPr>
      </c:pivotFmt>
      <c:pivotFmt>
        <c:idx val="2"/>
        <c:spPr>
          <a:solidFill>
            <a:srgbClr val="1F618D"/>
          </a:solidFill>
          <a:ln w="19050">
            <a:solidFill>
              <a:schemeClr val="lt1"/>
            </a:solidFill>
          </a:ln>
          <a:effectLst/>
        </c:spPr>
      </c:pivotFmt>
      <c:pivotFmt>
        <c:idx val="3"/>
        <c:spPr>
          <a:solidFill>
            <a:srgbClr val="95A5A6"/>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5A5A6"/>
          </a:solidFill>
          <a:ln w="19050">
            <a:solidFill>
              <a:schemeClr val="lt1"/>
            </a:solidFill>
          </a:ln>
          <a:effectLst/>
        </c:spPr>
      </c:pivotFmt>
      <c:pivotFmt>
        <c:idx val="6"/>
        <c:spPr>
          <a:solidFill>
            <a:srgbClr val="00B8D9"/>
          </a:solidFill>
          <a:ln w="19050">
            <a:solidFill>
              <a:schemeClr val="lt1"/>
            </a:solidFill>
          </a:ln>
          <a:effectLst/>
        </c:spPr>
      </c:pivotFmt>
      <c:pivotFmt>
        <c:idx val="7"/>
        <c:spPr>
          <a:solidFill>
            <a:srgbClr val="1F618D"/>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Source Sans Pro" panose="020B0503030403020204" pitchFamily="34" charset="0"/>
                  <a:ea typeface="Source Sans Pro" panose="020B0503030403020204" pitchFamily="34" charset="0"/>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95A5A6"/>
          </a:solidFill>
          <a:ln w="19050">
            <a:solidFill>
              <a:schemeClr val="lt1"/>
            </a:solidFill>
          </a:ln>
          <a:effectLst/>
        </c:spPr>
      </c:pivotFmt>
      <c:pivotFmt>
        <c:idx val="10"/>
        <c:spPr>
          <a:solidFill>
            <a:srgbClr val="00B8D9"/>
          </a:solidFill>
          <a:ln w="19050">
            <a:solidFill>
              <a:schemeClr val="lt1"/>
            </a:solidFill>
          </a:ln>
          <a:effectLst/>
        </c:spPr>
      </c:pivotFmt>
      <c:pivotFmt>
        <c:idx val="11"/>
        <c:spPr>
          <a:solidFill>
            <a:srgbClr val="1F618D"/>
          </a:solidFill>
          <a:ln w="19050">
            <a:solidFill>
              <a:schemeClr val="lt1"/>
            </a:solidFill>
          </a:ln>
          <a:effectLst/>
        </c:spPr>
      </c:pivotFmt>
      <c:pivotFmt>
        <c:idx val="12"/>
        <c:spPr>
          <a:solidFill>
            <a:srgbClr val="3489DB"/>
          </a:solidFill>
          <a:ln w="19050">
            <a:solidFill>
              <a:schemeClr val="lt1"/>
            </a:solidFill>
          </a:ln>
          <a:effectLst/>
        </c:spPr>
      </c:pivotFmt>
    </c:pivotFmts>
    <c:plotArea>
      <c:layout/>
      <c:pieChart>
        <c:varyColors val="1"/>
        <c:ser>
          <c:idx val="0"/>
          <c:order val="0"/>
          <c:tx>
            <c:strRef>
              <c:f>'Data Preparation'!$F$20</c:f>
              <c:strCache>
                <c:ptCount val="1"/>
                <c:pt idx="0">
                  <c:v>Total</c:v>
                </c:pt>
              </c:strCache>
            </c:strRef>
          </c:tx>
          <c:dPt>
            <c:idx val="0"/>
            <c:bubble3D val="0"/>
            <c:spPr>
              <a:solidFill>
                <a:srgbClr val="00B8D9"/>
              </a:solidFill>
              <a:ln w="19050">
                <a:solidFill>
                  <a:schemeClr val="lt1"/>
                </a:solidFill>
              </a:ln>
              <a:effectLst/>
            </c:spPr>
            <c:extLst>
              <c:ext xmlns:c16="http://schemas.microsoft.com/office/drawing/2014/chart" uri="{C3380CC4-5D6E-409C-BE32-E72D297353CC}">
                <c16:uniqueId val="{00000001-4F6D-4C2E-9C83-105E44E041F1}"/>
              </c:ext>
            </c:extLst>
          </c:dPt>
          <c:dPt>
            <c:idx val="1"/>
            <c:bubble3D val="0"/>
            <c:spPr>
              <a:solidFill>
                <a:srgbClr val="1F618D"/>
              </a:solidFill>
              <a:ln w="19050">
                <a:solidFill>
                  <a:schemeClr val="lt1"/>
                </a:solidFill>
              </a:ln>
              <a:effectLst/>
            </c:spPr>
            <c:extLst>
              <c:ext xmlns:c16="http://schemas.microsoft.com/office/drawing/2014/chart" uri="{C3380CC4-5D6E-409C-BE32-E72D297353CC}">
                <c16:uniqueId val="{00000003-4F6D-4C2E-9C83-105E44E041F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F6D-4C2E-9C83-105E44E041F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5E9-41F9-AB0E-0F01BED48B2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Source Sans Pro" panose="020B0503030403020204" pitchFamily="34" charset="0"/>
                    <a:ea typeface="Source Sans Pro" panose="020B0503030403020204" pitchFamily="34" charset="0"/>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'Data Preparation'!$E$21:$E$23</c:f>
              <c:strCache>
                <c:ptCount val="2"/>
                <c:pt idx="0">
                  <c:v>Rain, Overcast</c:v>
                </c:pt>
                <c:pt idx="1">
                  <c:v>Rain, Partially cloudy</c:v>
                </c:pt>
              </c:strCache>
            </c:strRef>
          </c:cat>
          <c:val>
            <c:numRef>
              <c:f>'Data Preparation'!$F$21:$F$23</c:f>
              <c:numCache>
                <c:formatCode>General</c:formatCode>
                <c:ptCount val="2"/>
                <c:pt idx="0">
                  <c:v>4</c:v>
                </c:pt>
                <c:pt idx="1">
                  <c:v>11</c:v>
                </c:pt>
              </c:numCache>
            </c:numRef>
          </c:val>
          <c:extLst>
            <c:ext xmlns:c16="http://schemas.microsoft.com/office/drawing/2014/chart" uri="{C3380CC4-5D6E-409C-BE32-E72D297353CC}">
              <c16:uniqueId val="{00000006-4F6D-4C2E-9C83-105E44E041F1}"/>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5723128700816118"/>
          <c:y val="0.41571369439035166"/>
          <c:w val="0.30214689720863758"/>
          <c:h val="0.2892750448835910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9F9F9"/>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[Weather Data(1).xlsm]Data Preparation!Precipitation_Table</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1"/>
                </a:solidFill>
                <a:latin typeface="Source Sans Pro" panose="020B0503030403020204" pitchFamily="34" charset="0"/>
                <a:ea typeface="Source Sans Pro" panose="020B0503030403020204" pitchFamily="34" charset="0"/>
              </a:rPr>
              <a:t>Precipitation</a:t>
            </a:r>
          </a:p>
        </c:rich>
      </c:tx>
      <c:overlay val="0"/>
      <c:spPr>
        <a:noFill/>
        <a:ln>
          <a:noFill/>
        </a:ln>
        <a:effectLst/>
      </c:spPr>
    </c:title>
    <c:autoTitleDeleted val="0"/>
    <c:pivotFmts>
      <c:pivotFmt>
        <c:idx val="0"/>
        <c:spPr>
          <a:solidFill>
            <a:srgbClr val="00B8D9"/>
          </a:solidFill>
          <a:ln>
            <a:noFill/>
          </a:ln>
          <a:effectLst/>
        </c:spPr>
        <c:marker>
          <c:symbol val="none"/>
        </c:marker>
        <c:dLbl>
          <c:idx val="0"/>
          <c:delete val="1"/>
          <c:extLst>
            <c:ext xmlns:c15="http://schemas.microsoft.com/office/drawing/2012/chart" uri="{CE6537A1-D6FC-4f65-9D91-7224C49458BB}"/>
          </c:extLst>
        </c:dLbl>
      </c:pivotFmt>
      <c:pivotFmt>
        <c:idx val="1"/>
        <c:spPr>
          <a:solidFill>
            <a:srgbClr val="00B8D9"/>
          </a:solidFill>
          <a:ln>
            <a:noFill/>
          </a:ln>
          <a:effectLst/>
        </c:spPr>
        <c:marker>
          <c:symbol val="none"/>
        </c:marker>
        <c:dLbl>
          <c:idx val="0"/>
          <c:delete val="1"/>
          <c:extLst>
            <c:ext xmlns:c15="http://schemas.microsoft.com/office/drawing/2012/chart" uri="{CE6537A1-D6FC-4f65-9D91-7224C49458BB}"/>
          </c:extLst>
        </c:dLbl>
      </c:pivotFmt>
      <c:pivotFmt>
        <c:idx val="2"/>
        <c:spPr>
          <a:solidFill>
            <a:srgbClr val="00B8D9"/>
          </a:solidFill>
          <a:ln>
            <a:noFill/>
          </a:ln>
          <a:effectLst/>
        </c:spPr>
        <c:marker>
          <c:symbol val="none"/>
        </c:marker>
        <c:dLbl>
          <c:idx val="0"/>
          <c:numFmt formatCode="#,##0.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dLbl>
          <c:idx val="0"/>
          <c:layout>
            <c:manualLayout>
              <c:x val="0"/>
              <c:y val="-8.9153111254922174E-2"/>
            </c:manualLayout>
          </c:layout>
          <c:numFmt formatCode="#,##0.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
        <c:dLbl>
          <c:idx val="0"/>
          <c:layout>
            <c:manualLayout>
              <c:x val="-3.4705579181462083E-3"/>
              <c:y val="-0.10586931961522018"/>
            </c:manualLayout>
          </c:layout>
          <c:numFmt formatCode="#,##0.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
        <c:dLbl>
          <c:idx val="0"/>
          <c:layout>
            <c:manualLayout>
              <c:x val="-1.0411673754438657E-2"/>
              <c:y val="-3.9004486174028449E-2"/>
            </c:manualLayout>
          </c:layout>
          <c:numFmt formatCode="#,##0.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
        <c:dLbl>
          <c:idx val="0"/>
          <c:layout>
            <c:manualLayout>
              <c:x val="-6.9411158362924167E-3"/>
              <c:y val="-0.10029725016178755"/>
            </c:manualLayout>
          </c:layout>
          <c:numFmt formatCode="#,##0.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
        <c:dLbl>
          <c:idx val="0"/>
          <c:layout>
            <c:manualLayout>
              <c:x val="-6.9411158362925442E-3"/>
              <c:y val="-9.4725180708354922E-2"/>
            </c:manualLayout>
          </c:layout>
          <c:numFmt formatCode="#,##0.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manualLayout>
          <c:layoutTarget val="inner"/>
          <c:xMode val="edge"/>
          <c:yMode val="edge"/>
          <c:x val="0.12327575988485311"/>
          <c:y val="0.19822027594144315"/>
          <c:w val="0.84975305506166565"/>
          <c:h val="0.54580751424501428"/>
        </c:manualLayout>
      </c:layout>
      <c:barChart>
        <c:barDir val="col"/>
        <c:grouping val="clustered"/>
        <c:varyColors val="0"/>
        <c:ser>
          <c:idx val="0"/>
          <c:order val="0"/>
          <c:tx>
            <c:strRef>
              <c:f>'Data Preparation'!$J$3</c:f>
              <c:strCache>
                <c:ptCount val="1"/>
                <c:pt idx="0">
                  <c:v>Total</c:v>
                </c:pt>
              </c:strCache>
            </c:strRef>
          </c:tx>
          <c:spPr>
            <a:solidFill>
              <a:srgbClr val="00B8D9"/>
            </a:solidFill>
            <a:ln>
              <a:noFill/>
            </a:ln>
            <a:effectLst/>
          </c:spPr>
          <c:invertIfNegative val="0"/>
          <c:dLbls>
            <c:numFmt formatCode="#,##0.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'Data Preparation'!$I$4:$I$18</c:f>
              <c:strCache>
                <c:ptCount val="15"/>
                <c:pt idx="0">
                  <c:v>08-10-2025</c:v>
                </c:pt>
                <c:pt idx="1">
                  <c:v>09-10-2025</c:v>
                </c:pt>
                <c:pt idx="2">
                  <c:v>10-10-2025</c:v>
                </c:pt>
                <c:pt idx="3">
                  <c:v>11-10-2025</c:v>
                </c:pt>
                <c:pt idx="4">
                  <c:v>12-10-2025</c:v>
                </c:pt>
                <c:pt idx="5">
                  <c:v>13-10-2025</c:v>
                </c:pt>
                <c:pt idx="6">
                  <c:v>14-10-2025</c:v>
                </c:pt>
                <c:pt idx="7">
                  <c:v>15-10-2025</c:v>
                </c:pt>
                <c:pt idx="8">
                  <c:v>16-10-2025</c:v>
                </c:pt>
                <c:pt idx="9">
                  <c:v>17-10-2025</c:v>
                </c:pt>
                <c:pt idx="10">
                  <c:v>18-10-2025</c:v>
                </c:pt>
                <c:pt idx="11">
                  <c:v>19-10-2025</c:v>
                </c:pt>
                <c:pt idx="12">
                  <c:v>20-10-2025</c:v>
                </c:pt>
                <c:pt idx="13">
                  <c:v>21-10-2025</c:v>
                </c:pt>
                <c:pt idx="14">
                  <c:v>22-10-2025</c:v>
                </c:pt>
              </c:strCache>
            </c:strRef>
          </c:cat>
          <c:val>
            <c:numRef>
              <c:f>'Data Preparation'!$J$4:$J$18</c:f>
              <c:numCache>
                <c:formatCode>0.0</c:formatCode>
                <c:ptCount val="15"/>
                <c:pt idx="0">
                  <c:v>0.73399999999999999</c:v>
                </c:pt>
                <c:pt idx="1">
                  <c:v>0.20300000000000001</c:v>
                </c:pt>
                <c:pt idx="2">
                  <c:v>0.48599999999999999</c:v>
                </c:pt>
                <c:pt idx="3">
                  <c:v>0.42199999999999999</c:v>
                </c:pt>
                <c:pt idx="4">
                  <c:v>0.30399999999999999</c:v>
                </c:pt>
                <c:pt idx="5">
                  <c:v>0.496</c:v>
                </c:pt>
                <c:pt idx="6">
                  <c:v>0.10299999999999999</c:v>
                </c:pt>
                <c:pt idx="7">
                  <c:v>0.32700000000000001</c:v>
                </c:pt>
                <c:pt idx="8">
                  <c:v>0.29199999999999998</c:v>
                </c:pt>
                <c:pt idx="9">
                  <c:v>0.96</c:v>
                </c:pt>
                <c:pt idx="10">
                  <c:v>0.57399999999999995</c:v>
                </c:pt>
                <c:pt idx="11">
                  <c:v>0.67700000000000005</c:v>
                </c:pt>
                <c:pt idx="12">
                  <c:v>0.878</c:v>
                </c:pt>
                <c:pt idx="13">
                  <c:v>0.77600000000000002</c:v>
                </c:pt>
                <c:pt idx="14">
                  <c:v>0.79500000000000004</c:v>
                </c:pt>
              </c:numCache>
            </c:numRef>
          </c:val>
          <c:extLst>
            <c:ext xmlns:c16="http://schemas.microsoft.com/office/drawing/2014/chart" uri="{C3380CC4-5D6E-409C-BE32-E72D297353CC}">
              <c16:uniqueId val="{00000000-57D6-4B50-B255-65CF910FB36E}"/>
            </c:ext>
          </c:extLst>
        </c:ser>
        <c:dLbls>
          <c:dLblPos val="outEnd"/>
          <c:showLegendKey val="0"/>
          <c:showVal val="1"/>
          <c:showCatName val="0"/>
          <c:showSerName val="0"/>
          <c:showPercent val="0"/>
          <c:showBubbleSize val="0"/>
        </c:dLbls>
        <c:gapWidth val="100"/>
        <c:overlap val="50"/>
        <c:axId val="687154288"/>
        <c:axId val="687156688"/>
      </c:barChart>
      <c:dateAx>
        <c:axId val="687154288"/>
        <c:scaling>
          <c:orientation val="minMax"/>
        </c:scaling>
        <c:delete val="0"/>
        <c:axPos val="b"/>
        <c:numFmt formatCode="m/d/yy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1"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687156688"/>
        <c:crosses val="autoZero"/>
        <c:auto val="0"/>
        <c:lblOffset val="100"/>
        <c:baseTimeUnit val="days"/>
      </c:dateAx>
      <c:valAx>
        <c:axId val="687156688"/>
        <c:scaling>
          <c:orientation val="minMax"/>
        </c:scaling>
        <c:delete val="0"/>
        <c:axPos val="l"/>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6871542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9F9F9"/>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[Weather Data(1).xlsm]Data Preparation!Min_Max_Temp</c:name>
    <c:fmtId val="11"/>
  </c:pivotSource>
  <c:chart>
    <c:title>
      <c:tx>
        <c:rich>
          <a:bodyPr rot="0" spcFirstLastPara="1" vertOverflow="ellipsis" vert="horz" wrap="square" anchor="t" anchorCtr="1"/>
          <a:lstStyle/>
          <a:p>
            <a:pPr algn="ctr">
              <a:defRPr sz="1400" b="0" i="0" u="none" strike="noStrike" kern="1200" spc="0" baseline="0">
                <a:solidFill>
                  <a:schemeClr val="tx1">
                    <a:lumMod val="65000"/>
                    <a:lumOff val="35000"/>
                  </a:schemeClr>
                </a:solidFill>
                <a:latin typeface="+mn-lt"/>
                <a:ea typeface="+mn-ea"/>
                <a:cs typeface="+mn-cs"/>
              </a:defRPr>
            </a:pPr>
            <a:r>
              <a:rPr lang="en-IN" sz="1400" b="1">
                <a:solidFill>
                  <a:sysClr val="windowText" lastClr="000000"/>
                </a:solidFill>
                <a:latin typeface="Source Sans Pro" panose="020B0503030403020204" pitchFamily="34" charset="0"/>
                <a:ea typeface="Source Sans Pro" panose="020B0503030403020204" pitchFamily="34" charset="0"/>
                <a:cs typeface="Segoe UI Semibold" panose="020B0702040204020203" pitchFamily="34" charset="0"/>
              </a:rPr>
              <a:t>Minimum</a:t>
            </a:r>
            <a:r>
              <a:rPr lang="en-IN" sz="1400" b="1" baseline="0">
                <a:solidFill>
                  <a:sysClr val="windowText" lastClr="000000"/>
                </a:solidFill>
                <a:latin typeface="Source Sans Pro" panose="020B0503030403020204" pitchFamily="34" charset="0"/>
                <a:ea typeface="Source Sans Pro" panose="020B0503030403020204" pitchFamily="34" charset="0"/>
                <a:cs typeface="Segoe UI Semibold" panose="020B0702040204020203" pitchFamily="34" charset="0"/>
              </a:rPr>
              <a:t> &amp; Maximum Temperature</a:t>
            </a:r>
          </a:p>
        </c:rich>
      </c:tx>
      <c:layout>
        <c:manualLayout>
          <c:xMode val="edge"/>
          <c:yMode val="edge"/>
          <c:x val="0.20227734360065955"/>
          <c:y val="1.1860598948305481E-2"/>
        </c:manualLayout>
      </c:layout>
      <c:overlay val="0"/>
      <c:spPr>
        <a:noFill/>
        <a:ln>
          <a:noFill/>
        </a:ln>
        <a:effectLst/>
      </c:spPr>
      <c:txPr>
        <a:bodyPr rot="0" spcFirstLastPara="1" vertOverflow="ellipsis" vert="horz" wrap="square" anchor="t"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F618D"/>
          </a:solidFill>
          <a:ln>
            <a:noFill/>
            <a:beve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8D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F618D"/>
          </a:solidFill>
          <a:ln>
            <a:noFill/>
            <a:bevel/>
          </a:ln>
          <a:effectLst/>
        </c:spPr>
      </c:pivotFmt>
      <c:pivotFmt>
        <c:idx val="3"/>
        <c:spPr>
          <a:solidFill>
            <a:srgbClr val="1F618D"/>
          </a:solidFill>
          <a:ln>
            <a:noFill/>
            <a:beve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B8D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1F618D"/>
          </a:solidFill>
          <a:ln>
            <a:noFill/>
            <a:beve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0B8D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s>
    <c:plotArea>
      <c:layout>
        <c:manualLayout>
          <c:layoutTarget val="inner"/>
          <c:xMode val="edge"/>
          <c:yMode val="edge"/>
          <c:x val="0.11699647533275856"/>
          <c:y val="0.28435814138349863"/>
          <c:w val="0.84508023341419292"/>
          <c:h val="0.46969326747999718"/>
        </c:manualLayout>
      </c:layout>
      <c:barChart>
        <c:barDir val="col"/>
        <c:grouping val="clustered"/>
        <c:varyColors val="0"/>
        <c:ser>
          <c:idx val="0"/>
          <c:order val="0"/>
          <c:tx>
            <c:strRef>
              <c:f>'Data Preparation'!$B$3</c:f>
              <c:strCache>
                <c:ptCount val="1"/>
                <c:pt idx="0">
                  <c:v>Max_Temp</c:v>
                </c:pt>
              </c:strCache>
            </c:strRef>
          </c:tx>
          <c:spPr>
            <a:solidFill>
              <a:srgbClr val="1F618D"/>
            </a:solidFill>
            <a:ln>
              <a:noFill/>
              <a:bevel/>
            </a:ln>
            <a:effectLst/>
          </c:spPr>
          <c:invertIfNegative val="0"/>
          <c:cat>
            <c:strRef>
              <c:f>'Data Preparation'!$A$4:$A$18</c:f>
              <c:strCache>
                <c:ptCount val="15"/>
                <c:pt idx="0">
                  <c:v>08-10-2025</c:v>
                </c:pt>
                <c:pt idx="1">
                  <c:v>09-10-2025</c:v>
                </c:pt>
                <c:pt idx="2">
                  <c:v>10-10-2025</c:v>
                </c:pt>
                <c:pt idx="3">
                  <c:v>11-10-2025</c:v>
                </c:pt>
                <c:pt idx="4">
                  <c:v>12-10-2025</c:v>
                </c:pt>
                <c:pt idx="5">
                  <c:v>13-10-2025</c:v>
                </c:pt>
                <c:pt idx="6">
                  <c:v>14-10-2025</c:v>
                </c:pt>
                <c:pt idx="7">
                  <c:v>15-10-2025</c:v>
                </c:pt>
                <c:pt idx="8">
                  <c:v>16-10-2025</c:v>
                </c:pt>
                <c:pt idx="9">
                  <c:v>17-10-2025</c:v>
                </c:pt>
                <c:pt idx="10">
                  <c:v>18-10-2025</c:v>
                </c:pt>
                <c:pt idx="11">
                  <c:v>19-10-2025</c:v>
                </c:pt>
                <c:pt idx="12">
                  <c:v>20-10-2025</c:v>
                </c:pt>
                <c:pt idx="13">
                  <c:v>21-10-2025</c:v>
                </c:pt>
                <c:pt idx="14">
                  <c:v>22-10-2025</c:v>
                </c:pt>
              </c:strCache>
            </c:strRef>
          </c:cat>
          <c:val>
            <c:numRef>
              <c:f>'Data Preparation'!$B$4:$B$18</c:f>
              <c:numCache>
                <c:formatCode>General</c:formatCode>
                <c:ptCount val="15"/>
                <c:pt idx="0">
                  <c:v>87.7</c:v>
                </c:pt>
                <c:pt idx="1">
                  <c:v>86.1</c:v>
                </c:pt>
                <c:pt idx="2">
                  <c:v>84.1</c:v>
                </c:pt>
                <c:pt idx="3">
                  <c:v>84.8</c:v>
                </c:pt>
                <c:pt idx="4">
                  <c:v>85.6</c:v>
                </c:pt>
                <c:pt idx="5">
                  <c:v>85.4</c:v>
                </c:pt>
                <c:pt idx="6">
                  <c:v>87.3</c:v>
                </c:pt>
                <c:pt idx="7">
                  <c:v>86.8</c:v>
                </c:pt>
                <c:pt idx="8">
                  <c:v>83</c:v>
                </c:pt>
                <c:pt idx="9">
                  <c:v>83.4</c:v>
                </c:pt>
                <c:pt idx="10">
                  <c:v>85</c:v>
                </c:pt>
                <c:pt idx="11">
                  <c:v>83.6</c:v>
                </c:pt>
                <c:pt idx="12">
                  <c:v>83.4</c:v>
                </c:pt>
                <c:pt idx="13">
                  <c:v>83.9</c:v>
                </c:pt>
                <c:pt idx="14">
                  <c:v>84.3</c:v>
                </c:pt>
              </c:numCache>
            </c:numRef>
          </c:val>
          <c:extLst>
            <c:ext xmlns:c16="http://schemas.microsoft.com/office/drawing/2014/chart" uri="{C3380CC4-5D6E-409C-BE32-E72D297353CC}">
              <c16:uniqueId val="{00000000-502B-4DDE-838D-6B2BA8CB42D6}"/>
            </c:ext>
          </c:extLst>
        </c:ser>
        <c:ser>
          <c:idx val="1"/>
          <c:order val="1"/>
          <c:tx>
            <c:strRef>
              <c:f>'Data Preparation'!$C$3</c:f>
              <c:strCache>
                <c:ptCount val="1"/>
                <c:pt idx="0">
                  <c:v>Min_Temp</c:v>
                </c:pt>
              </c:strCache>
            </c:strRef>
          </c:tx>
          <c:spPr>
            <a:solidFill>
              <a:srgbClr val="00B8D9"/>
            </a:solidFill>
            <a:ln>
              <a:noFill/>
            </a:ln>
            <a:effectLst/>
          </c:spPr>
          <c:invertIfNegative val="0"/>
          <c:cat>
            <c:strRef>
              <c:f>'Data Preparation'!$A$4:$A$18</c:f>
              <c:strCache>
                <c:ptCount val="15"/>
                <c:pt idx="0">
                  <c:v>08-10-2025</c:v>
                </c:pt>
                <c:pt idx="1">
                  <c:v>09-10-2025</c:v>
                </c:pt>
                <c:pt idx="2">
                  <c:v>10-10-2025</c:v>
                </c:pt>
                <c:pt idx="3">
                  <c:v>11-10-2025</c:v>
                </c:pt>
                <c:pt idx="4">
                  <c:v>12-10-2025</c:v>
                </c:pt>
                <c:pt idx="5">
                  <c:v>13-10-2025</c:v>
                </c:pt>
                <c:pt idx="6">
                  <c:v>14-10-2025</c:v>
                </c:pt>
                <c:pt idx="7">
                  <c:v>15-10-2025</c:v>
                </c:pt>
                <c:pt idx="8">
                  <c:v>16-10-2025</c:v>
                </c:pt>
                <c:pt idx="9">
                  <c:v>17-10-2025</c:v>
                </c:pt>
                <c:pt idx="10">
                  <c:v>18-10-2025</c:v>
                </c:pt>
                <c:pt idx="11">
                  <c:v>19-10-2025</c:v>
                </c:pt>
                <c:pt idx="12">
                  <c:v>20-10-2025</c:v>
                </c:pt>
                <c:pt idx="13">
                  <c:v>21-10-2025</c:v>
                </c:pt>
                <c:pt idx="14">
                  <c:v>22-10-2025</c:v>
                </c:pt>
              </c:strCache>
            </c:strRef>
          </c:cat>
          <c:val>
            <c:numRef>
              <c:f>'Data Preparation'!$C$4:$C$18</c:f>
              <c:numCache>
                <c:formatCode>General</c:formatCode>
                <c:ptCount val="15"/>
                <c:pt idx="0">
                  <c:v>72.599999999999994</c:v>
                </c:pt>
                <c:pt idx="1">
                  <c:v>72.2</c:v>
                </c:pt>
                <c:pt idx="2">
                  <c:v>72.099999999999994</c:v>
                </c:pt>
                <c:pt idx="3">
                  <c:v>73.3</c:v>
                </c:pt>
                <c:pt idx="4">
                  <c:v>72.400000000000006</c:v>
                </c:pt>
                <c:pt idx="5">
                  <c:v>71.900000000000006</c:v>
                </c:pt>
                <c:pt idx="6">
                  <c:v>71.5</c:v>
                </c:pt>
                <c:pt idx="7">
                  <c:v>72.099999999999994</c:v>
                </c:pt>
                <c:pt idx="8">
                  <c:v>71.7</c:v>
                </c:pt>
                <c:pt idx="9">
                  <c:v>71.900000000000006</c:v>
                </c:pt>
                <c:pt idx="10">
                  <c:v>72.400000000000006</c:v>
                </c:pt>
                <c:pt idx="11">
                  <c:v>73.7</c:v>
                </c:pt>
                <c:pt idx="12">
                  <c:v>72.400000000000006</c:v>
                </c:pt>
                <c:pt idx="13">
                  <c:v>71.900000000000006</c:v>
                </c:pt>
                <c:pt idx="14">
                  <c:v>72.900000000000006</c:v>
                </c:pt>
              </c:numCache>
            </c:numRef>
          </c:val>
          <c:extLst>
            <c:ext xmlns:c16="http://schemas.microsoft.com/office/drawing/2014/chart" uri="{C3380CC4-5D6E-409C-BE32-E72D297353CC}">
              <c16:uniqueId val="{00000001-502B-4DDE-838D-6B2BA8CB42D6}"/>
            </c:ext>
          </c:extLst>
        </c:ser>
        <c:dLbls>
          <c:showLegendKey val="0"/>
          <c:showVal val="0"/>
          <c:showCatName val="0"/>
          <c:showSerName val="0"/>
          <c:showPercent val="0"/>
          <c:showBubbleSize val="0"/>
        </c:dLbls>
        <c:gapWidth val="100"/>
        <c:axId val="573062016"/>
        <c:axId val="573064416"/>
      </c:barChart>
      <c:catAx>
        <c:axId val="573062016"/>
        <c:scaling>
          <c:orientation val="minMax"/>
        </c:scaling>
        <c:delete val="0"/>
        <c:axPos val="b"/>
        <c:numFmt formatCode="m/d/yy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1"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573064416"/>
        <c:crosses val="autoZero"/>
        <c:auto val="1"/>
        <c:lblAlgn val="ctr"/>
        <c:lblOffset val="100"/>
        <c:noMultiLvlLbl val="0"/>
      </c:catAx>
      <c:valAx>
        <c:axId val="573064416"/>
        <c:scaling>
          <c:orientation val="minMax"/>
        </c:scaling>
        <c:delete val="0"/>
        <c:axPos val="l"/>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57306201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t" anchorCtr="1"/>
        <a:lstStyle/>
        <a:p>
          <a:pPr>
            <a:defRPr sz="7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9F9F9"/>
    </a:solidFill>
    <a:ln w="9525" cap="flat" cmpd="sng" algn="ctr">
      <a:noFill/>
      <a:prstDash val="sysDash"/>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[Weather Data(1).xlsm]Data Preparation!Wind_Humidity_Table</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1"/>
                </a:solidFill>
                <a:latin typeface="Source Sans Pro" panose="020B0503030403020204" pitchFamily="34" charset="0"/>
                <a:ea typeface="Source Sans Pro" panose="020B0503030403020204" pitchFamily="34" charset="0"/>
              </a:rPr>
              <a:t>Humidity vs Wind Speed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F618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25400">
            <a:noFill/>
          </a:ln>
          <a:effectLst/>
        </c:spPr>
      </c:pivotFmt>
      <c:pivotFmt>
        <c:idx val="3"/>
        <c:spPr>
          <a:solidFill>
            <a:schemeClr val="accent1"/>
          </a:solidFill>
          <a:ln>
            <a:solidFill>
              <a:srgbClr val="00B8D9"/>
            </a:solidFill>
          </a:ln>
          <a:effectLst/>
        </c:spPr>
        <c:marker>
          <c:symbol val="none"/>
        </c:marker>
      </c:pivotFmt>
      <c:pivotFmt>
        <c:idx val="4"/>
        <c:spPr>
          <a:solidFill>
            <a:schemeClr val="accent2"/>
          </a:solidFill>
          <a:ln w="25400">
            <a:noFill/>
          </a:ln>
          <a:effectLst/>
        </c:spPr>
      </c:pivotFmt>
      <c:pivotFmt>
        <c:idx val="5"/>
        <c:spPr>
          <a:solidFill>
            <a:srgbClr val="1F618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solidFill>
              <a:srgbClr val="00B8D9"/>
            </a:solidFill>
          </a:ln>
          <a:effectLst/>
        </c:spPr>
      </c:pivotFmt>
      <c:pivotFmt>
        <c:idx val="8"/>
        <c:spPr>
          <a:solidFill>
            <a:srgbClr val="1F618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rgbClr val="00B8D9"/>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pivotFmt>
      <c:pivotFmt>
        <c:idx val="11"/>
      </c:pivotFmt>
      <c:pivotFmt>
        <c:idx val="12"/>
        <c:spPr>
          <a:solidFill>
            <a:schemeClr val="accent1"/>
          </a:solidFill>
          <a:ln w="28575" cap="rnd">
            <a:solidFill>
              <a:srgbClr val="00B8D9"/>
            </a:solidFill>
            <a:round/>
          </a:ln>
          <a:effectLst/>
        </c:spPr>
        <c:marker>
          <c:symbol val="none"/>
        </c:marker>
      </c:pivotFmt>
      <c:pivotFmt>
        <c:idx val="13"/>
        <c:spPr>
          <a:solidFill>
            <a:schemeClr val="accent1"/>
          </a:solidFill>
          <a:ln w="28575" cap="rnd">
            <a:solidFill>
              <a:srgbClr val="00B8D9"/>
            </a:solidFill>
            <a:round/>
          </a:ln>
          <a:effectLst/>
        </c:spPr>
        <c:marker>
          <c:symbol val="none"/>
        </c:marker>
      </c:pivotFmt>
      <c:pivotFmt>
        <c:idx val="14"/>
        <c:spPr>
          <a:solidFill>
            <a:schemeClr val="accent1"/>
          </a:solidFill>
          <a:ln w="28575" cap="rnd">
            <a:solidFill>
              <a:srgbClr val="00B8D9"/>
            </a:solidFill>
            <a:round/>
          </a:ln>
          <a:effectLst/>
        </c:spPr>
        <c:marker>
          <c:symbol val="none"/>
        </c:marker>
      </c:pivotFmt>
      <c:pivotFmt>
        <c:idx val="15"/>
        <c:spPr>
          <a:solidFill>
            <a:schemeClr val="accent1"/>
          </a:solidFill>
          <a:ln w="28575" cap="rnd">
            <a:solidFill>
              <a:srgbClr val="00B8D9"/>
            </a:solidFill>
            <a:round/>
          </a:ln>
          <a:effectLst/>
        </c:spPr>
        <c:marker>
          <c:symbol val="none"/>
        </c:marker>
      </c:pivotFmt>
      <c:pivotFmt>
        <c:idx val="16"/>
        <c:spPr>
          <a:solidFill>
            <a:schemeClr val="accent1"/>
          </a:solidFill>
          <a:ln w="28575" cap="rnd">
            <a:solidFill>
              <a:srgbClr val="00B8D9"/>
            </a:solidFill>
            <a:round/>
          </a:ln>
          <a:effectLst/>
        </c:spPr>
        <c:marker>
          <c:symbol val="none"/>
        </c:marker>
      </c:pivotFmt>
      <c:pivotFmt>
        <c:idx val="17"/>
        <c:spPr>
          <a:solidFill>
            <a:schemeClr val="accent1"/>
          </a:solidFill>
          <a:ln w="28575" cap="rnd">
            <a:solidFill>
              <a:srgbClr val="00B8D9"/>
            </a:solidFill>
            <a:round/>
          </a:ln>
          <a:effectLst/>
        </c:spPr>
        <c:marker>
          <c:symbol val="none"/>
        </c:marker>
      </c:pivotFmt>
      <c:pivotFmt>
        <c:idx val="18"/>
        <c:spPr>
          <a:solidFill>
            <a:schemeClr val="accent1"/>
          </a:solidFill>
          <a:ln w="28575" cap="rnd">
            <a:solidFill>
              <a:srgbClr val="00B8D9"/>
            </a:solidFill>
            <a:round/>
          </a:ln>
          <a:effectLst/>
        </c:spPr>
        <c:marker>
          <c:symbol val="none"/>
        </c:marker>
      </c:pivotFmt>
      <c:pivotFmt>
        <c:idx val="19"/>
        <c:spPr>
          <a:solidFill>
            <a:schemeClr val="accent1"/>
          </a:solidFill>
          <a:ln w="28575" cap="rnd">
            <a:solidFill>
              <a:srgbClr val="00B8D9"/>
            </a:solidFill>
            <a:round/>
          </a:ln>
          <a:effectLst/>
        </c:spPr>
        <c:marker>
          <c:symbol val="none"/>
        </c:marker>
      </c:pivotFmt>
      <c:pivotFmt>
        <c:idx val="20"/>
        <c:spPr>
          <a:solidFill>
            <a:schemeClr val="accent1"/>
          </a:solidFill>
          <a:ln w="28575" cap="rnd">
            <a:solidFill>
              <a:srgbClr val="00B8D9"/>
            </a:solidFill>
            <a:round/>
          </a:ln>
          <a:effectLst/>
        </c:spPr>
        <c:marker>
          <c:symbol val="none"/>
        </c:marker>
      </c:pivotFmt>
      <c:pivotFmt>
        <c:idx val="21"/>
        <c:spPr>
          <a:solidFill>
            <a:schemeClr val="accent1"/>
          </a:solidFill>
          <a:ln w="28575" cap="rnd">
            <a:solidFill>
              <a:srgbClr val="00B8D9"/>
            </a:solidFill>
            <a:round/>
          </a:ln>
          <a:effectLst/>
        </c:spPr>
        <c:marker>
          <c:symbol val="none"/>
        </c:marker>
      </c:pivotFmt>
      <c:pivotFmt>
        <c:idx val="22"/>
        <c:spPr>
          <a:solidFill>
            <a:schemeClr val="accent1"/>
          </a:solidFill>
          <a:ln w="28575" cap="rnd">
            <a:solidFill>
              <a:srgbClr val="00B8D9"/>
            </a:solidFill>
            <a:round/>
          </a:ln>
          <a:effectLst/>
        </c:spPr>
        <c:marker>
          <c:symbol val="none"/>
        </c:marker>
      </c:pivotFmt>
      <c:pivotFmt>
        <c:idx val="23"/>
        <c:spPr>
          <a:solidFill>
            <a:schemeClr val="accent1"/>
          </a:solidFill>
          <a:ln w="28575" cap="rnd">
            <a:solidFill>
              <a:srgbClr val="00B8D9"/>
            </a:solidFill>
            <a:round/>
          </a:ln>
          <a:effectLst/>
        </c:spPr>
        <c:marker>
          <c:symbol val="none"/>
        </c:marker>
      </c:pivotFmt>
      <c:pivotFmt>
        <c:idx val="24"/>
        <c:spPr>
          <a:solidFill>
            <a:schemeClr val="accent1"/>
          </a:solidFill>
          <a:ln w="28575" cap="rnd">
            <a:solidFill>
              <a:srgbClr val="00B8D9"/>
            </a:solidFill>
            <a:round/>
          </a:ln>
          <a:effectLst/>
        </c:spPr>
        <c:marker>
          <c:symbol val="none"/>
        </c:marker>
      </c:pivotFmt>
      <c:pivotFmt>
        <c:idx val="25"/>
        <c:spPr>
          <a:solidFill>
            <a:schemeClr val="accent1"/>
          </a:solidFill>
          <a:ln w="28575" cap="rnd">
            <a:solidFill>
              <a:srgbClr val="00B8D9"/>
            </a:solidFill>
            <a:round/>
          </a:ln>
          <a:effectLst/>
        </c:spPr>
        <c:marker>
          <c:symbol val="none"/>
        </c:marker>
      </c:pivotFmt>
      <c:pivotFmt>
        <c:idx val="26"/>
        <c:spPr>
          <a:solidFill>
            <a:schemeClr val="accent1"/>
          </a:solidFill>
          <a:ln w="28575" cap="rnd">
            <a:solidFill>
              <a:srgbClr val="00B8D9"/>
            </a:solidFill>
            <a:round/>
          </a:ln>
          <a:effectLst/>
        </c:spPr>
        <c:marker>
          <c:symbol val="none"/>
        </c:marker>
      </c:pivotFmt>
      <c:pivotFmt>
        <c:idx val="27"/>
        <c:spPr>
          <a:solidFill>
            <a:schemeClr val="accent1"/>
          </a:solidFill>
          <a:ln w="28575" cap="rnd">
            <a:solidFill>
              <a:srgbClr val="00B8D9"/>
            </a:solidFill>
            <a:round/>
          </a:ln>
          <a:effectLst/>
        </c:spPr>
        <c:marker>
          <c:symbol val="none"/>
        </c:marker>
      </c:pivotFmt>
      <c:pivotFmt>
        <c:idx val="28"/>
        <c:spPr>
          <a:solidFill>
            <a:schemeClr val="accent1"/>
          </a:solidFill>
          <a:ln w="28575" cap="rnd">
            <a:solidFill>
              <a:srgbClr val="00B8D9"/>
            </a:solidFill>
            <a:round/>
          </a:ln>
          <a:effectLst/>
        </c:spPr>
        <c:marker>
          <c:symbol val="none"/>
        </c:marker>
      </c:pivotFmt>
      <c:pivotFmt>
        <c:idx val="29"/>
        <c:spPr>
          <a:solidFill>
            <a:schemeClr val="accent1"/>
          </a:solidFill>
          <a:ln w="28575" cap="rnd">
            <a:solidFill>
              <a:srgbClr val="00B8D9"/>
            </a:solidFill>
            <a:round/>
          </a:ln>
          <a:effectLst/>
        </c:spPr>
        <c:marker>
          <c:symbol val="none"/>
        </c:marker>
      </c:pivotFmt>
      <c:pivotFmt>
        <c:idx val="30"/>
        <c:spPr>
          <a:solidFill>
            <a:schemeClr val="accent1"/>
          </a:solidFill>
          <a:ln w="28575" cap="rnd">
            <a:solidFill>
              <a:srgbClr val="00B8D9"/>
            </a:solidFill>
            <a:round/>
          </a:ln>
          <a:effectLst/>
        </c:spPr>
        <c:marker>
          <c:symbol val="none"/>
        </c:marker>
      </c:pivotFmt>
      <c:pivotFmt>
        <c:idx val="31"/>
        <c:spPr>
          <a:solidFill>
            <a:schemeClr val="accent1"/>
          </a:solidFill>
          <a:ln w="28575" cap="rnd">
            <a:solidFill>
              <a:srgbClr val="00B8D9"/>
            </a:solidFill>
            <a:round/>
          </a:ln>
          <a:effectLst/>
        </c:spPr>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spPr>
          <a:solidFill>
            <a:schemeClr val="accent1"/>
          </a:solidFill>
          <a:ln w="28575" cap="rnd">
            <a:solidFill>
              <a:srgbClr val="00B8D9"/>
            </a:solidFill>
            <a:round/>
          </a:ln>
          <a:effectLst/>
        </c:spPr>
        <c:marker>
          <c:symbol val="none"/>
        </c:marker>
      </c:pivotFmt>
      <c:pivotFmt>
        <c:idx val="40"/>
        <c:spPr>
          <a:solidFill>
            <a:schemeClr val="accent1"/>
          </a:solidFill>
          <a:ln w="28575" cap="rnd">
            <a:solidFill>
              <a:srgbClr val="00B8D9"/>
            </a:solidFill>
            <a:round/>
          </a:ln>
          <a:effectLst/>
        </c:spPr>
        <c:marker>
          <c:symbol val="none"/>
        </c:marker>
      </c:pivotFmt>
      <c:pivotFmt>
        <c:idx val="41"/>
        <c:spPr>
          <a:solidFill>
            <a:schemeClr val="accent1"/>
          </a:solidFill>
          <a:ln w="28575" cap="rnd">
            <a:solidFill>
              <a:srgbClr val="00B8D9"/>
            </a:solidFill>
            <a:round/>
          </a:ln>
          <a:effectLst/>
        </c:spPr>
        <c:marker>
          <c:symbol val="none"/>
        </c:marker>
      </c:pivotFmt>
      <c:pivotFmt>
        <c:idx val="42"/>
        <c:spPr>
          <a:solidFill>
            <a:schemeClr val="accent1"/>
          </a:solidFill>
          <a:ln w="28575" cap="rnd">
            <a:solidFill>
              <a:srgbClr val="00B8D9"/>
            </a:solidFill>
            <a:round/>
          </a:ln>
          <a:effectLst/>
        </c:spPr>
        <c:marker>
          <c:symbol val="none"/>
        </c:marker>
      </c:pivotFmt>
      <c:pivotFmt>
        <c:idx val="43"/>
        <c:spPr>
          <a:solidFill>
            <a:schemeClr val="accent1"/>
          </a:solidFill>
          <a:ln w="28575" cap="rnd">
            <a:solidFill>
              <a:srgbClr val="00B8D9"/>
            </a:solidFill>
            <a:round/>
          </a:ln>
          <a:effectLst/>
        </c:spPr>
        <c:marker>
          <c:symbol val="none"/>
        </c:marker>
      </c:pivotFmt>
      <c:pivotFmt>
        <c:idx val="44"/>
        <c:spPr>
          <a:solidFill>
            <a:schemeClr val="accent1"/>
          </a:solidFill>
          <a:ln w="28575" cap="rnd">
            <a:solidFill>
              <a:srgbClr val="00B8D9"/>
            </a:solidFill>
            <a:round/>
          </a:ln>
          <a:effectLst/>
        </c:spPr>
        <c:marker>
          <c:symbol val="none"/>
        </c:marker>
      </c:pivotFmt>
      <c:pivotFmt>
        <c:idx val="45"/>
        <c:marker>
          <c:symbol val="none"/>
        </c:marker>
      </c:pivotFmt>
      <c:pivotFmt>
        <c:idx val="46"/>
        <c:spPr>
          <a:solidFill>
            <a:schemeClr val="accent1"/>
          </a:solidFill>
          <a:ln w="28575" cap="rnd">
            <a:solidFill>
              <a:srgbClr val="00B8D9"/>
            </a:solidFill>
            <a:round/>
          </a:ln>
          <a:effectLst/>
        </c:spPr>
        <c:marker>
          <c:symbol val="none"/>
        </c:marker>
      </c:pivotFmt>
      <c:pivotFmt>
        <c:idx val="47"/>
        <c:spPr>
          <a:solidFill>
            <a:schemeClr val="accent1"/>
          </a:solidFill>
          <a:ln w="28575" cap="rnd">
            <a:solidFill>
              <a:srgbClr val="00B8D9"/>
            </a:solidFill>
            <a:round/>
          </a:ln>
          <a:effectLst/>
        </c:spPr>
        <c:marker>
          <c:symbol val="none"/>
        </c:marker>
      </c:pivotFmt>
      <c:pivotFmt>
        <c:idx val="48"/>
        <c:spPr>
          <a:solidFill>
            <a:schemeClr val="accent1"/>
          </a:solidFill>
          <a:ln w="28575" cap="rnd">
            <a:solidFill>
              <a:srgbClr val="00B8D9"/>
            </a:solidFill>
            <a:round/>
          </a:ln>
          <a:effectLst/>
        </c:spPr>
        <c:marker>
          <c:symbol val="none"/>
        </c:marker>
      </c:pivotFmt>
      <c:pivotFmt>
        <c:idx val="49"/>
        <c:spPr>
          <a:solidFill>
            <a:schemeClr val="accent1"/>
          </a:solidFill>
          <a:ln w="28575" cap="rnd">
            <a:solidFill>
              <a:srgbClr val="00B8D9"/>
            </a:solidFill>
            <a:round/>
          </a:ln>
          <a:effectLst/>
        </c:spPr>
        <c:marker>
          <c:symbol val="none"/>
        </c:marker>
      </c:pivotFmt>
      <c:pivotFmt>
        <c:idx val="50"/>
        <c:spPr>
          <a:solidFill>
            <a:schemeClr val="accent1"/>
          </a:solidFill>
          <a:ln w="28575" cap="rnd">
            <a:solidFill>
              <a:srgbClr val="00B8D9"/>
            </a:solidFill>
            <a:round/>
          </a:ln>
          <a:effectLst/>
        </c:spPr>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spPr>
          <a:solidFill>
            <a:schemeClr val="accent1"/>
          </a:solidFill>
          <a:ln w="28575" cap="rnd">
            <a:solidFill>
              <a:srgbClr val="00B8D9"/>
            </a:solidFill>
            <a:round/>
          </a:ln>
          <a:effectLst/>
        </c:spPr>
        <c:marker>
          <c:symbol val="none"/>
        </c:marker>
      </c:pivotFmt>
      <c:pivotFmt>
        <c:idx val="56"/>
        <c:spPr>
          <a:solidFill>
            <a:schemeClr val="accent1"/>
          </a:solidFill>
          <a:ln w="28575" cap="rnd">
            <a:solidFill>
              <a:srgbClr val="00B8D9"/>
            </a:solidFill>
            <a:round/>
          </a:ln>
          <a:effectLst/>
        </c:spPr>
        <c:marker>
          <c:symbol val="none"/>
        </c:marker>
      </c:pivotFmt>
      <c:pivotFmt>
        <c:idx val="57"/>
        <c:spPr>
          <a:solidFill>
            <a:schemeClr val="accent1"/>
          </a:solidFill>
          <a:ln w="28575" cap="rnd">
            <a:solidFill>
              <a:srgbClr val="00B8D9"/>
            </a:solidFill>
            <a:round/>
          </a:ln>
          <a:effectLst/>
        </c:spPr>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spPr>
          <a:ln w="28575" cap="rnd">
            <a:solidFill>
              <a:srgbClr val="00B8D9"/>
            </a:solidFill>
            <a:round/>
          </a:ln>
          <a:effectLst/>
        </c:spPr>
        <c:marker>
          <c:symbol val="none"/>
        </c:marker>
      </c:pivotFmt>
      <c:pivotFmt>
        <c:idx val="65"/>
        <c:spPr>
          <a:ln w="28575" cap="rnd">
            <a:solidFill>
              <a:srgbClr val="00B8D9"/>
            </a:solidFill>
            <a:round/>
          </a:ln>
          <a:effectLst/>
        </c:spPr>
        <c:marker>
          <c:symbol val="none"/>
        </c:marker>
      </c:pivotFmt>
      <c:pivotFmt>
        <c:idx val="66"/>
        <c:spPr>
          <a:ln w="28575" cap="rnd">
            <a:solidFill>
              <a:srgbClr val="00B8D9"/>
            </a:solidFill>
            <a:round/>
          </a:ln>
          <a:effectLst/>
        </c:spPr>
        <c:marker>
          <c:symbol val="none"/>
        </c:marker>
      </c:pivotFmt>
      <c:pivotFmt>
        <c:idx val="67"/>
        <c:marker>
          <c:symbol val="none"/>
        </c:marker>
      </c:pivotFmt>
      <c:pivotFmt>
        <c:idx val="68"/>
        <c:spPr>
          <a:ln w="28575" cap="rnd">
            <a:solidFill>
              <a:srgbClr val="00B8D9"/>
            </a:solidFill>
            <a:round/>
          </a:ln>
          <a:effectLst/>
        </c:spPr>
        <c:marker>
          <c:symbol val="none"/>
        </c:marker>
      </c:pivotFmt>
      <c:pivotFmt>
        <c:idx val="69"/>
        <c:spPr>
          <a:ln w="28575" cap="rnd">
            <a:solidFill>
              <a:srgbClr val="00B8D9"/>
            </a:solidFill>
            <a:round/>
          </a:ln>
          <a:effectLst/>
        </c:spPr>
        <c:marker>
          <c:symbol val="none"/>
        </c:marker>
      </c:pivotFmt>
      <c:pivotFmt>
        <c:idx val="70"/>
        <c:spPr>
          <a:ln w="28575" cap="rnd">
            <a:solidFill>
              <a:srgbClr val="00B8D9"/>
            </a:solidFill>
            <a:round/>
          </a:ln>
          <a:effectLst/>
        </c:spPr>
        <c:marker>
          <c:symbol val="none"/>
        </c:marker>
      </c:pivotFmt>
      <c:pivotFmt>
        <c:idx val="71"/>
        <c:spPr>
          <a:ln w="28575" cap="rnd">
            <a:solidFill>
              <a:srgbClr val="00B8D9"/>
            </a:solidFill>
            <a:round/>
          </a:ln>
          <a:effectLst/>
        </c:spPr>
        <c:marker>
          <c:symbol val="none"/>
        </c:marker>
      </c:pivotFmt>
      <c:pivotFmt>
        <c:idx val="72"/>
        <c:spPr>
          <a:ln w="28575" cap="rnd">
            <a:solidFill>
              <a:srgbClr val="00B8D9"/>
            </a:solidFill>
            <a:round/>
          </a:ln>
          <a:effectLst/>
        </c:spPr>
        <c:marker>
          <c:symbol val="none"/>
        </c:marker>
      </c:pivotFmt>
      <c:pivotFmt>
        <c:idx val="73"/>
        <c:spPr>
          <a:ln w="28575" cap="rnd">
            <a:solidFill>
              <a:srgbClr val="00B8D9"/>
            </a:solidFill>
            <a:round/>
          </a:ln>
          <a:effectLst/>
        </c:spPr>
        <c:marker>
          <c:symbol val="none"/>
        </c:marker>
      </c:pivotFmt>
      <c:pivotFmt>
        <c:idx val="74"/>
        <c:spPr>
          <a:ln w="28575" cap="rnd">
            <a:solidFill>
              <a:srgbClr val="00B8D9"/>
            </a:solidFill>
            <a:round/>
          </a:ln>
          <a:effectLst/>
        </c:spPr>
        <c:marker>
          <c:symbol val="none"/>
        </c:marker>
      </c:pivotFmt>
      <c:pivotFmt>
        <c:idx val="75"/>
        <c:spPr>
          <a:ln w="28575" cap="rnd">
            <a:solidFill>
              <a:srgbClr val="00B8D9"/>
            </a:solidFill>
            <a:round/>
          </a:ln>
          <a:effectLst/>
        </c:spPr>
        <c:marker>
          <c:symbol val="none"/>
        </c:marker>
      </c:pivotFmt>
    </c:pivotFmts>
    <c:plotArea>
      <c:layout>
        <c:manualLayout>
          <c:layoutTarget val="inner"/>
          <c:xMode val="edge"/>
          <c:yMode val="edge"/>
          <c:x val="0.10111735635929184"/>
          <c:y val="0.27875667735042731"/>
          <c:w val="0.80050097751710658"/>
          <c:h val="0.46394275284900283"/>
        </c:manualLayout>
      </c:layout>
      <c:barChart>
        <c:barDir val="col"/>
        <c:grouping val="clustered"/>
        <c:varyColors val="0"/>
        <c:ser>
          <c:idx val="0"/>
          <c:order val="0"/>
          <c:tx>
            <c:strRef>
              <c:f>'Data Preparation'!$F$3</c:f>
              <c:strCache>
                <c:ptCount val="1"/>
                <c:pt idx="0">
                  <c:v>Wind_Speed</c:v>
                </c:pt>
              </c:strCache>
            </c:strRef>
          </c:tx>
          <c:spPr>
            <a:solidFill>
              <a:srgbClr val="1F618D"/>
            </a:solidFill>
            <a:ln>
              <a:noFill/>
            </a:ln>
            <a:effectLst/>
          </c:spPr>
          <c:invertIfNegative val="0"/>
          <c:cat>
            <c:strRef>
              <c:f>'Data Preparation'!$E$4:$E$18</c:f>
              <c:strCache>
                <c:ptCount val="15"/>
                <c:pt idx="0">
                  <c:v>08-10-2025</c:v>
                </c:pt>
                <c:pt idx="1">
                  <c:v>09-10-2025</c:v>
                </c:pt>
                <c:pt idx="2">
                  <c:v>10-10-2025</c:v>
                </c:pt>
                <c:pt idx="3">
                  <c:v>11-10-2025</c:v>
                </c:pt>
                <c:pt idx="4">
                  <c:v>12-10-2025</c:v>
                </c:pt>
                <c:pt idx="5">
                  <c:v>13-10-2025</c:v>
                </c:pt>
                <c:pt idx="6">
                  <c:v>14-10-2025</c:v>
                </c:pt>
                <c:pt idx="7">
                  <c:v>15-10-2025</c:v>
                </c:pt>
                <c:pt idx="8">
                  <c:v>16-10-2025</c:v>
                </c:pt>
                <c:pt idx="9">
                  <c:v>17-10-2025</c:v>
                </c:pt>
                <c:pt idx="10">
                  <c:v>18-10-2025</c:v>
                </c:pt>
                <c:pt idx="11">
                  <c:v>19-10-2025</c:v>
                </c:pt>
                <c:pt idx="12">
                  <c:v>20-10-2025</c:v>
                </c:pt>
                <c:pt idx="13">
                  <c:v>21-10-2025</c:v>
                </c:pt>
                <c:pt idx="14">
                  <c:v>22-10-2025</c:v>
                </c:pt>
              </c:strCache>
            </c:strRef>
          </c:cat>
          <c:val>
            <c:numRef>
              <c:f>'Data Preparation'!$F$4:$F$18</c:f>
              <c:numCache>
                <c:formatCode>General</c:formatCode>
                <c:ptCount val="15"/>
                <c:pt idx="0">
                  <c:v>8.3000000000000007</c:v>
                </c:pt>
                <c:pt idx="1">
                  <c:v>11.4</c:v>
                </c:pt>
                <c:pt idx="2">
                  <c:v>9.1999999999999993</c:v>
                </c:pt>
                <c:pt idx="3">
                  <c:v>9.4</c:v>
                </c:pt>
                <c:pt idx="4">
                  <c:v>8.6999999999999993</c:v>
                </c:pt>
                <c:pt idx="5">
                  <c:v>8.5</c:v>
                </c:pt>
                <c:pt idx="6">
                  <c:v>8.5</c:v>
                </c:pt>
                <c:pt idx="7">
                  <c:v>7.8</c:v>
                </c:pt>
                <c:pt idx="8">
                  <c:v>6.7</c:v>
                </c:pt>
                <c:pt idx="9">
                  <c:v>4</c:v>
                </c:pt>
                <c:pt idx="10">
                  <c:v>7.6</c:v>
                </c:pt>
                <c:pt idx="11">
                  <c:v>7.4</c:v>
                </c:pt>
                <c:pt idx="12">
                  <c:v>8.5</c:v>
                </c:pt>
                <c:pt idx="13">
                  <c:v>6.9</c:v>
                </c:pt>
                <c:pt idx="14">
                  <c:v>7.4</c:v>
                </c:pt>
              </c:numCache>
            </c:numRef>
          </c:val>
          <c:extLst>
            <c:ext xmlns:c16="http://schemas.microsoft.com/office/drawing/2014/chart" uri="{C3380CC4-5D6E-409C-BE32-E72D297353CC}">
              <c16:uniqueId val="{00000000-A3EB-4C85-A266-89844817E57A}"/>
            </c:ext>
          </c:extLst>
        </c:ser>
        <c:dLbls>
          <c:showLegendKey val="0"/>
          <c:showVal val="0"/>
          <c:showCatName val="0"/>
          <c:showSerName val="0"/>
          <c:showPercent val="0"/>
          <c:showBubbleSize val="0"/>
        </c:dLbls>
        <c:gapWidth val="100"/>
        <c:axId val="687152848"/>
        <c:axId val="687160048"/>
      </c:barChart>
      <c:lineChart>
        <c:grouping val="standard"/>
        <c:varyColors val="0"/>
        <c:ser>
          <c:idx val="1"/>
          <c:order val="1"/>
          <c:tx>
            <c:strRef>
              <c:f>'Data Preparation'!$G$3</c:f>
              <c:strCache>
                <c:ptCount val="1"/>
                <c:pt idx="0">
                  <c:v>Humidity_</c:v>
                </c:pt>
              </c:strCache>
            </c:strRef>
          </c:tx>
          <c:spPr>
            <a:ln w="28575" cap="rnd">
              <a:solidFill>
                <a:srgbClr val="00B8D9"/>
              </a:solidFill>
              <a:round/>
            </a:ln>
            <a:effectLst/>
          </c:spPr>
          <c:marker>
            <c:symbol val="none"/>
          </c:marker>
          <c:dPt>
            <c:idx val="0"/>
            <c:marker>
              <c:symbol val="none"/>
            </c:marker>
            <c:bubble3D val="0"/>
            <c:extLst>
              <c:ext xmlns:c16="http://schemas.microsoft.com/office/drawing/2014/chart" uri="{C3380CC4-5D6E-409C-BE32-E72D297353CC}">
                <c16:uniqueId val="{00000001-068F-4AE8-94F1-1E8C919DCA05}"/>
              </c:ext>
            </c:extLst>
          </c:dPt>
          <c:dPt>
            <c:idx val="1"/>
            <c:marker>
              <c:symbol val="none"/>
            </c:marker>
            <c:bubble3D val="0"/>
            <c:extLst>
              <c:ext xmlns:c16="http://schemas.microsoft.com/office/drawing/2014/chart" uri="{C3380CC4-5D6E-409C-BE32-E72D297353CC}">
                <c16:uniqueId val="{00000003-068F-4AE8-94F1-1E8C919DCA05}"/>
              </c:ext>
            </c:extLst>
          </c:dPt>
          <c:dPt>
            <c:idx val="2"/>
            <c:marker>
              <c:symbol val="none"/>
            </c:marker>
            <c:bubble3D val="0"/>
            <c:extLst>
              <c:ext xmlns:c16="http://schemas.microsoft.com/office/drawing/2014/chart" uri="{C3380CC4-5D6E-409C-BE32-E72D297353CC}">
                <c16:uniqueId val="{00000005-068F-4AE8-94F1-1E8C919DCA05}"/>
              </c:ext>
            </c:extLst>
          </c:dPt>
          <c:dPt>
            <c:idx val="3"/>
            <c:marker>
              <c:symbol val="none"/>
            </c:marker>
            <c:bubble3D val="0"/>
            <c:extLst>
              <c:ext xmlns:c16="http://schemas.microsoft.com/office/drawing/2014/chart" uri="{C3380CC4-5D6E-409C-BE32-E72D297353CC}">
                <c16:uniqueId val="{00000007-068F-4AE8-94F1-1E8C919DCA05}"/>
              </c:ext>
            </c:extLst>
          </c:dPt>
          <c:dPt>
            <c:idx val="4"/>
            <c:marker>
              <c:symbol val="none"/>
            </c:marker>
            <c:bubble3D val="0"/>
            <c:extLst>
              <c:ext xmlns:c16="http://schemas.microsoft.com/office/drawing/2014/chart" uri="{C3380CC4-5D6E-409C-BE32-E72D297353CC}">
                <c16:uniqueId val="{00000009-068F-4AE8-94F1-1E8C919DCA05}"/>
              </c:ext>
            </c:extLst>
          </c:dPt>
          <c:dPt>
            <c:idx val="5"/>
            <c:marker>
              <c:symbol val="none"/>
            </c:marker>
            <c:bubble3D val="0"/>
            <c:extLst>
              <c:ext xmlns:c16="http://schemas.microsoft.com/office/drawing/2014/chart" uri="{C3380CC4-5D6E-409C-BE32-E72D297353CC}">
                <c16:uniqueId val="{00000001-46C1-48FE-A6FC-B19A4F8DB0A0}"/>
              </c:ext>
            </c:extLst>
          </c:dPt>
          <c:dPt>
            <c:idx val="6"/>
            <c:marker>
              <c:symbol val="none"/>
            </c:marker>
            <c:bubble3D val="0"/>
            <c:extLst>
              <c:ext xmlns:c16="http://schemas.microsoft.com/office/drawing/2014/chart" uri="{C3380CC4-5D6E-409C-BE32-E72D297353CC}">
                <c16:uniqueId val="{00000003-46C1-48FE-A6FC-B19A4F8DB0A0}"/>
              </c:ext>
            </c:extLst>
          </c:dPt>
          <c:dPt>
            <c:idx val="7"/>
            <c:marker>
              <c:symbol val="none"/>
            </c:marker>
            <c:bubble3D val="0"/>
            <c:extLst>
              <c:ext xmlns:c16="http://schemas.microsoft.com/office/drawing/2014/chart" uri="{C3380CC4-5D6E-409C-BE32-E72D297353CC}">
                <c16:uniqueId val="{00000001-9D55-44B5-8D65-2C6B84FE27F4}"/>
              </c:ext>
            </c:extLst>
          </c:dPt>
          <c:dPt>
            <c:idx val="8"/>
            <c:marker>
              <c:symbol val="none"/>
            </c:marker>
            <c:bubble3D val="0"/>
            <c:extLst>
              <c:ext xmlns:c16="http://schemas.microsoft.com/office/drawing/2014/chart" uri="{C3380CC4-5D6E-409C-BE32-E72D297353CC}">
                <c16:uniqueId val="{00000001-5EB7-497A-A659-5ECEC2879A5F}"/>
              </c:ext>
            </c:extLst>
          </c:dPt>
          <c:dPt>
            <c:idx val="9"/>
            <c:marker>
              <c:symbol val="none"/>
            </c:marker>
            <c:bubble3D val="0"/>
            <c:extLst>
              <c:ext xmlns:c16="http://schemas.microsoft.com/office/drawing/2014/chart" uri="{C3380CC4-5D6E-409C-BE32-E72D297353CC}">
                <c16:uniqueId val="{00000001-FA60-4EC6-969B-D062EFB0581B}"/>
              </c:ext>
            </c:extLst>
          </c:dPt>
          <c:dPt>
            <c:idx val="10"/>
            <c:marker>
              <c:symbol val="none"/>
            </c:marker>
            <c:bubble3D val="0"/>
            <c:extLst>
              <c:ext xmlns:c16="http://schemas.microsoft.com/office/drawing/2014/chart" uri="{C3380CC4-5D6E-409C-BE32-E72D297353CC}">
                <c16:uniqueId val="{00000001-FCE1-41D3-9204-5B9E985E9590}"/>
              </c:ext>
            </c:extLst>
          </c:dPt>
          <c:dPt>
            <c:idx val="11"/>
            <c:marker>
              <c:symbol val="none"/>
            </c:marker>
            <c:bubble3D val="0"/>
            <c:extLst>
              <c:ext xmlns:c16="http://schemas.microsoft.com/office/drawing/2014/chart" uri="{C3380CC4-5D6E-409C-BE32-E72D297353CC}">
                <c16:uniqueId val="{00000002-A3EB-4C85-A266-89844817E57A}"/>
              </c:ext>
            </c:extLst>
          </c:dPt>
          <c:cat>
            <c:strRef>
              <c:f>'Data Preparation'!$E$4:$E$18</c:f>
              <c:strCache>
                <c:ptCount val="15"/>
                <c:pt idx="0">
                  <c:v>08-10-2025</c:v>
                </c:pt>
                <c:pt idx="1">
                  <c:v>09-10-2025</c:v>
                </c:pt>
                <c:pt idx="2">
                  <c:v>10-10-2025</c:v>
                </c:pt>
                <c:pt idx="3">
                  <c:v>11-10-2025</c:v>
                </c:pt>
                <c:pt idx="4">
                  <c:v>12-10-2025</c:v>
                </c:pt>
                <c:pt idx="5">
                  <c:v>13-10-2025</c:v>
                </c:pt>
                <c:pt idx="6">
                  <c:v>14-10-2025</c:v>
                </c:pt>
                <c:pt idx="7">
                  <c:v>15-10-2025</c:v>
                </c:pt>
                <c:pt idx="8">
                  <c:v>16-10-2025</c:v>
                </c:pt>
                <c:pt idx="9">
                  <c:v>17-10-2025</c:v>
                </c:pt>
                <c:pt idx="10">
                  <c:v>18-10-2025</c:v>
                </c:pt>
                <c:pt idx="11">
                  <c:v>19-10-2025</c:v>
                </c:pt>
                <c:pt idx="12">
                  <c:v>20-10-2025</c:v>
                </c:pt>
                <c:pt idx="13">
                  <c:v>21-10-2025</c:v>
                </c:pt>
                <c:pt idx="14">
                  <c:v>22-10-2025</c:v>
                </c:pt>
              </c:strCache>
            </c:strRef>
          </c:cat>
          <c:val>
            <c:numRef>
              <c:f>'Data Preparation'!$G$4:$G$18</c:f>
              <c:numCache>
                <c:formatCode>General</c:formatCode>
                <c:ptCount val="15"/>
                <c:pt idx="0">
                  <c:v>75.599999999999994</c:v>
                </c:pt>
                <c:pt idx="1">
                  <c:v>78.599999999999994</c:v>
                </c:pt>
                <c:pt idx="2">
                  <c:v>79.3</c:v>
                </c:pt>
                <c:pt idx="3">
                  <c:v>78.2</c:v>
                </c:pt>
                <c:pt idx="4">
                  <c:v>78.7</c:v>
                </c:pt>
                <c:pt idx="5">
                  <c:v>77.599999999999994</c:v>
                </c:pt>
                <c:pt idx="6">
                  <c:v>73.8</c:v>
                </c:pt>
                <c:pt idx="7">
                  <c:v>75.3</c:v>
                </c:pt>
                <c:pt idx="8">
                  <c:v>80.8</c:v>
                </c:pt>
                <c:pt idx="9">
                  <c:v>82.1</c:v>
                </c:pt>
                <c:pt idx="10">
                  <c:v>80.2</c:v>
                </c:pt>
                <c:pt idx="11">
                  <c:v>80.900000000000006</c:v>
                </c:pt>
                <c:pt idx="12">
                  <c:v>83.1</c:v>
                </c:pt>
                <c:pt idx="13">
                  <c:v>81.400000000000006</c:v>
                </c:pt>
                <c:pt idx="14">
                  <c:v>80.900000000000006</c:v>
                </c:pt>
              </c:numCache>
            </c:numRef>
          </c:val>
          <c:smooth val="0"/>
          <c:extLst>
            <c:ext xmlns:c16="http://schemas.microsoft.com/office/drawing/2014/chart" uri="{C3380CC4-5D6E-409C-BE32-E72D297353CC}">
              <c16:uniqueId val="{00000003-A3EB-4C85-A266-89844817E57A}"/>
            </c:ext>
          </c:extLst>
        </c:ser>
        <c:dLbls>
          <c:showLegendKey val="0"/>
          <c:showVal val="0"/>
          <c:showCatName val="0"/>
          <c:showSerName val="0"/>
          <c:showPercent val="0"/>
          <c:showBubbleSize val="0"/>
        </c:dLbls>
        <c:marker val="1"/>
        <c:smooth val="0"/>
        <c:axId val="1560480271"/>
        <c:axId val="1560479311"/>
      </c:lineChart>
      <c:catAx>
        <c:axId val="68715284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1"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687160048"/>
        <c:crosses val="autoZero"/>
        <c:auto val="1"/>
        <c:lblAlgn val="ctr"/>
        <c:lblOffset val="100"/>
        <c:noMultiLvlLbl val="0"/>
      </c:catAx>
      <c:valAx>
        <c:axId val="6871600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687152848"/>
        <c:crosses val="autoZero"/>
        <c:crossBetween val="between"/>
      </c:valAx>
      <c:valAx>
        <c:axId val="1560479311"/>
        <c:scaling>
          <c:orientation val="minMax"/>
        </c:scaling>
        <c:delete val="0"/>
        <c:axPos val="r"/>
        <c:numFmt formatCode="General" sourceLinked="1"/>
        <c:majorTickMark val="out"/>
        <c:minorTickMark val="none"/>
        <c:tickLblPos val="nextTo"/>
        <c:spPr>
          <a:solidFill>
            <a:srgbClr val="F9F9F9"/>
          </a:solid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560480271"/>
        <c:crosses val="max"/>
        <c:crossBetween val="between"/>
      </c:valAx>
      <c:catAx>
        <c:axId val="1560480271"/>
        <c:scaling>
          <c:orientation val="minMax"/>
        </c:scaling>
        <c:delete val="1"/>
        <c:axPos val="b"/>
        <c:numFmt formatCode="General" sourceLinked="1"/>
        <c:majorTickMark val="out"/>
        <c:minorTickMark val="none"/>
        <c:tickLblPos val="nextTo"/>
        <c:crossAx val="1560479311"/>
        <c:crosses val="autoZero"/>
        <c:auto val="1"/>
        <c:lblAlgn val="ctr"/>
        <c:lblOffset val="100"/>
        <c:noMultiLvlLbl val="0"/>
      </c:catAx>
      <c:spPr>
        <a:noFill/>
        <a:ln>
          <a:noFill/>
        </a:ln>
        <a:effectLst/>
      </c:spPr>
    </c:plotArea>
    <c:legend>
      <c:legendPos val="t"/>
      <c:layout>
        <c:manualLayout>
          <c:xMode val="edge"/>
          <c:yMode val="edge"/>
          <c:x val="0.26096909959813192"/>
          <c:y val="0.16166176994301995"/>
          <c:w val="0.47806152927120671"/>
          <c:h val="8.3173967236467236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9F9F9"/>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image" Target="../media/image1.png"/><Relationship Id="rId10" Type="http://schemas.openxmlformats.org/officeDocument/2006/relationships/image" Target="../media/image6.png"/><Relationship Id="rId4" Type="http://schemas.openxmlformats.org/officeDocument/2006/relationships/chart" Target="../charts/chart4.xml"/><Relationship Id="rId9"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90714</xdr:colOff>
      <xdr:row>1</xdr:row>
      <xdr:rowOff>36285</xdr:rowOff>
    </xdr:from>
    <xdr:to>
      <xdr:col>12</xdr:col>
      <xdr:colOff>601980</xdr:colOff>
      <xdr:row>4</xdr:row>
      <xdr:rowOff>129540</xdr:rowOff>
    </xdr:to>
    <xdr:sp macro="" textlink="">
      <xdr:nvSpPr>
        <xdr:cNvPr id="2" name="Rectangle: Rounded Corners 1">
          <a:extLst>
            <a:ext uri="{FF2B5EF4-FFF2-40B4-BE49-F238E27FC236}">
              <a16:creationId xmlns:a16="http://schemas.microsoft.com/office/drawing/2014/main" id="{105034CE-F193-7249-BBB5-49783EC0D479}"/>
            </a:ext>
          </a:extLst>
        </xdr:cNvPr>
        <xdr:cNvSpPr/>
      </xdr:nvSpPr>
      <xdr:spPr>
        <a:xfrm>
          <a:off x="90714" y="217714"/>
          <a:ext cx="8430623" cy="637540"/>
        </a:xfrm>
        <a:prstGeom prst="roundRect">
          <a:avLst>
            <a:gd name="adj" fmla="val 24713"/>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81642</xdr:colOff>
      <xdr:row>5</xdr:row>
      <xdr:rowOff>81643</xdr:rowOff>
    </xdr:from>
    <xdr:to>
      <xdr:col>1</xdr:col>
      <xdr:colOff>342809</xdr:colOff>
      <xdr:row>8</xdr:row>
      <xdr:rowOff>179202</xdr:rowOff>
    </xdr:to>
    <xdr:sp macro="" textlink="'Data Preparation'!$C$4">
      <xdr:nvSpPr>
        <xdr:cNvPr id="4" name="Rectangle: Rounded Corners 3">
          <a:extLst>
            <a:ext uri="{FF2B5EF4-FFF2-40B4-BE49-F238E27FC236}">
              <a16:creationId xmlns:a16="http://schemas.microsoft.com/office/drawing/2014/main" id="{72674F8A-131C-4509-80C5-B8087C7FAEAF}"/>
            </a:ext>
          </a:extLst>
        </xdr:cNvPr>
        <xdr:cNvSpPr/>
      </xdr:nvSpPr>
      <xdr:spPr>
        <a:xfrm>
          <a:off x="81642" y="988786"/>
          <a:ext cx="1494881" cy="641845"/>
        </a:xfrm>
        <a:prstGeom prst="roundRect">
          <a:avLst>
            <a:gd name="adj" fmla="val 24713"/>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2431F073-B578-44FC-90A0-D6CBFD2DBE78}" type="TxLink">
            <a:rPr lang="en-US" sz="1600" b="1" i="0" u="none" strike="noStrike">
              <a:solidFill>
                <a:srgbClr val="00B8D9"/>
              </a:solidFill>
              <a:latin typeface="Source Sans Pro" panose="020B0503030403020204" pitchFamily="34" charset="0"/>
              <a:ea typeface="Source Sans Pro" panose="020B0503030403020204" pitchFamily="34" charset="0"/>
              <a:cs typeface="Calibri"/>
            </a:rPr>
            <a:pPr marL="0" indent="0" algn="ctr"/>
            <a:t>72.6</a:t>
          </a:fld>
          <a:endParaRPr lang="en-IN" sz="1600" b="1" i="0" u="none" strike="noStrike">
            <a:solidFill>
              <a:srgbClr val="00B8D9"/>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2</xdr:col>
      <xdr:colOff>16652</xdr:colOff>
      <xdr:row>5</xdr:row>
      <xdr:rowOff>57216</xdr:rowOff>
    </xdr:from>
    <xdr:to>
      <xdr:col>4</xdr:col>
      <xdr:colOff>375240</xdr:colOff>
      <xdr:row>9</xdr:row>
      <xdr:rowOff>199</xdr:rowOff>
    </xdr:to>
    <xdr:sp macro="" textlink="'Data Preparation'!$B$4">
      <xdr:nvSpPr>
        <xdr:cNvPr id="5" name="Rectangle: Rounded Corners 4">
          <a:extLst>
            <a:ext uri="{FF2B5EF4-FFF2-40B4-BE49-F238E27FC236}">
              <a16:creationId xmlns:a16="http://schemas.microsoft.com/office/drawing/2014/main" id="{91868130-B39A-48EB-B6A5-201AF2008E20}"/>
            </a:ext>
          </a:extLst>
        </xdr:cNvPr>
        <xdr:cNvSpPr/>
      </xdr:nvSpPr>
      <xdr:spPr>
        <a:xfrm>
          <a:off x="3095132" y="971616"/>
          <a:ext cx="1577788" cy="674503"/>
        </a:xfrm>
        <a:prstGeom prst="roundRect">
          <a:avLst>
            <a:gd name="adj" fmla="val 24713"/>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B1FED488-1986-4888-8048-3C7383CE86C5}" type="TxLink">
            <a:rPr lang="en-US" sz="1600" b="1" i="0" u="none" strike="noStrike">
              <a:solidFill>
                <a:srgbClr val="00B8D9"/>
              </a:solidFill>
              <a:latin typeface="Source Sans Pro" panose="020B0503030403020204" pitchFamily="34" charset="0"/>
              <a:ea typeface="Source Sans Pro" panose="020B0503030403020204" pitchFamily="34" charset="0"/>
              <a:cs typeface="Calibri"/>
            </a:rPr>
            <a:pPr marL="0" indent="0" algn="ctr"/>
            <a:t>87.7</a:t>
          </a:fld>
          <a:endParaRPr lang="en-IN" sz="1600" b="1" i="0" u="none" strike="noStrike">
            <a:solidFill>
              <a:srgbClr val="00B8D9"/>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5</xdr:col>
      <xdr:colOff>49082</xdr:colOff>
      <xdr:row>5</xdr:row>
      <xdr:rowOff>64970</xdr:rowOff>
    </xdr:from>
    <xdr:to>
      <xdr:col>7</xdr:col>
      <xdr:colOff>265669</xdr:colOff>
      <xdr:row>9</xdr:row>
      <xdr:rowOff>200</xdr:rowOff>
    </xdr:to>
    <xdr:sp macro="" textlink="'Data Preparation'!$G$4">
      <xdr:nvSpPr>
        <xdr:cNvPr id="6" name="Rectangle: Rounded Corners 5">
          <a:extLst>
            <a:ext uri="{FF2B5EF4-FFF2-40B4-BE49-F238E27FC236}">
              <a16:creationId xmlns:a16="http://schemas.microsoft.com/office/drawing/2014/main" id="{76FDF611-B676-46EE-8002-95A1CFAF9500}"/>
            </a:ext>
          </a:extLst>
        </xdr:cNvPr>
        <xdr:cNvSpPr/>
      </xdr:nvSpPr>
      <xdr:spPr>
        <a:xfrm>
          <a:off x="4956362" y="979370"/>
          <a:ext cx="1435787" cy="666750"/>
        </a:xfrm>
        <a:prstGeom prst="roundRect">
          <a:avLst>
            <a:gd name="adj" fmla="val 24713"/>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18F7BBFE-D958-40F3-9D2F-B226976355E7}" type="TxLink">
            <a:rPr lang="en-US" sz="1600" b="1" i="0" u="none" strike="noStrike">
              <a:solidFill>
                <a:srgbClr val="00B8D9"/>
              </a:solidFill>
              <a:latin typeface="Source Sans Pro" panose="020B0503030403020204" pitchFamily="34" charset="0"/>
              <a:ea typeface="Source Sans Pro" panose="020B0503030403020204" pitchFamily="34" charset="0"/>
              <a:cs typeface="Calibri"/>
            </a:rPr>
            <a:pPr marL="0" indent="0" algn="ctr"/>
            <a:t>75.6</a:t>
          </a:fld>
          <a:endParaRPr lang="en-IN" sz="1600" b="1" i="0" u="none" strike="noStrike">
            <a:solidFill>
              <a:srgbClr val="00B8D9"/>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7</xdr:col>
      <xdr:colOff>503754</xdr:colOff>
      <xdr:row>5</xdr:row>
      <xdr:rowOff>70164</xdr:rowOff>
    </xdr:from>
    <xdr:to>
      <xdr:col>10</xdr:col>
      <xdr:colOff>181742</xdr:colOff>
      <xdr:row>9</xdr:row>
      <xdr:rowOff>13147</xdr:rowOff>
    </xdr:to>
    <xdr:sp macro="" textlink="'Data Preparation'!$F$4">
      <xdr:nvSpPr>
        <xdr:cNvPr id="7" name="Rectangle: Rounded Corners 6">
          <a:extLst>
            <a:ext uri="{FF2B5EF4-FFF2-40B4-BE49-F238E27FC236}">
              <a16:creationId xmlns:a16="http://schemas.microsoft.com/office/drawing/2014/main" id="{5066F68D-FB1C-4147-AE53-9BCCD736EDC6}"/>
            </a:ext>
          </a:extLst>
        </xdr:cNvPr>
        <xdr:cNvSpPr/>
      </xdr:nvSpPr>
      <xdr:spPr>
        <a:xfrm>
          <a:off x="5384183" y="977307"/>
          <a:ext cx="1501345" cy="668697"/>
        </a:xfrm>
        <a:prstGeom prst="roundRect">
          <a:avLst>
            <a:gd name="adj" fmla="val 24713"/>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EA4DC8BE-DE34-4B63-8212-F6EC84334220}" type="TxLink">
            <a:rPr lang="en-US" sz="1600" b="1" i="0" u="none" strike="noStrike">
              <a:solidFill>
                <a:srgbClr val="00B8D9"/>
              </a:solidFill>
              <a:latin typeface="Source Sans Pro" panose="020B0503030403020204" pitchFamily="34" charset="0"/>
              <a:ea typeface="Source Sans Pro" panose="020B0503030403020204" pitchFamily="34" charset="0"/>
              <a:cs typeface="Calibri"/>
            </a:rPr>
            <a:pPr marL="0" indent="0" algn="ctr"/>
            <a:t>8.3</a:t>
          </a:fld>
          <a:endParaRPr lang="en-IN" sz="1600" b="1" i="0" u="none" strike="noStrike">
            <a:solidFill>
              <a:srgbClr val="00B8D9"/>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10</xdr:col>
      <xdr:colOff>352425</xdr:colOff>
      <xdr:row>5</xdr:row>
      <xdr:rowOff>61092</xdr:rowOff>
    </xdr:from>
    <xdr:to>
      <xdr:col>13</xdr:col>
      <xdr:colOff>22860</xdr:colOff>
      <xdr:row>9</xdr:row>
      <xdr:rowOff>9525</xdr:rowOff>
    </xdr:to>
    <xdr:sp macro="" textlink="'Data Preparation'!$J$4">
      <xdr:nvSpPr>
        <xdr:cNvPr id="8" name="Rectangle: Rounded Corners 7">
          <a:extLst>
            <a:ext uri="{FF2B5EF4-FFF2-40B4-BE49-F238E27FC236}">
              <a16:creationId xmlns:a16="http://schemas.microsoft.com/office/drawing/2014/main" id="{D7471101-3F05-4779-8134-9201EBD0A43F}"/>
            </a:ext>
          </a:extLst>
        </xdr:cNvPr>
        <xdr:cNvSpPr/>
      </xdr:nvSpPr>
      <xdr:spPr>
        <a:xfrm>
          <a:off x="8315325" y="965967"/>
          <a:ext cx="1499235" cy="672333"/>
        </a:xfrm>
        <a:prstGeom prst="roundRect">
          <a:avLst>
            <a:gd name="adj" fmla="val 24713"/>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CD2BFD52-4059-4BD1-84F7-17A6C41550C9}" type="TxLink">
            <a:rPr lang="en-US" sz="1600" b="1" i="0" u="none" strike="noStrike">
              <a:solidFill>
                <a:srgbClr val="00B8D9"/>
              </a:solidFill>
              <a:latin typeface="Source Sans Pro" panose="020B0503030403020204" pitchFamily="34" charset="0"/>
              <a:ea typeface="Source Sans Pro" panose="020B0503030403020204" pitchFamily="34" charset="0"/>
              <a:cs typeface="Calibri"/>
            </a:rPr>
            <a:pPr marL="0" indent="0" algn="ctr"/>
            <a:t>0.7</a:t>
          </a:fld>
          <a:endParaRPr lang="en-IN" sz="1600" b="1" i="0" u="none" strike="noStrike">
            <a:solidFill>
              <a:srgbClr val="00B8D9"/>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0</xdr:col>
      <xdr:colOff>209549</xdr:colOff>
      <xdr:row>1</xdr:row>
      <xdr:rowOff>45721</xdr:rowOff>
    </xdr:from>
    <xdr:to>
      <xdr:col>10</xdr:col>
      <xdr:colOff>332827</xdr:colOff>
      <xdr:row>3</xdr:row>
      <xdr:rowOff>26277</xdr:rowOff>
    </xdr:to>
    <xdr:sp macro="" textlink="'Data Preparation'!$D$1">
      <xdr:nvSpPr>
        <xdr:cNvPr id="9" name="TextBox 8">
          <a:extLst>
            <a:ext uri="{FF2B5EF4-FFF2-40B4-BE49-F238E27FC236}">
              <a16:creationId xmlns:a16="http://schemas.microsoft.com/office/drawing/2014/main" id="{0C96D715-7B7E-3FAE-6E42-5324BC6DC172}"/>
            </a:ext>
          </a:extLst>
        </xdr:cNvPr>
        <xdr:cNvSpPr txBox="1"/>
      </xdr:nvSpPr>
      <xdr:spPr>
        <a:xfrm>
          <a:off x="209549" y="229652"/>
          <a:ext cx="6876175" cy="3484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12B445D-27BC-461D-9D53-C3093EBE920A}" type="TxLink">
            <a:rPr lang="en-US" sz="2000" b="1" i="0" u="none" strike="noStrike" baseline="0">
              <a:solidFill>
                <a:srgbClr val="1F618D"/>
              </a:solidFill>
              <a:latin typeface="Source Sans Pro" panose="020B0503030403020204" pitchFamily="34" charset="0"/>
              <a:ea typeface="Source Sans Pro" panose="020B0503030403020204" pitchFamily="34" charset="0"/>
              <a:cs typeface="Calibri"/>
            </a:rPr>
            <a:pPr algn="l"/>
            <a:t>Climate Analytics Dashboard: 08-Oct to 22-Oct-2025</a:t>
          </a:fld>
          <a:endParaRPr lang="en-IN" sz="4000" b="1">
            <a:solidFill>
              <a:srgbClr val="1F618D"/>
            </a:solidFill>
            <a:latin typeface="Source Sans Pro" panose="020B0503030403020204" pitchFamily="34" charset="0"/>
            <a:ea typeface="Source Sans Pro" panose="020B0503030403020204" pitchFamily="34" charset="0"/>
          </a:endParaRPr>
        </a:p>
      </xdr:txBody>
    </xdr:sp>
    <xdr:clientData/>
  </xdr:twoCellAnchor>
  <xdr:twoCellAnchor>
    <xdr:from>
      <xdr:col>8</xdr:col>
      <xdr:colOff>210186</xdr:colOff>
      <xdr:row>5</xdr:row>
      <xdr:rowOff>108575</xdr:rowOff>
    </xdr:from>
    <xdr:to>
      <xdr:col>10</xdr:col>
      <xdr:colOff>319043</xdr:colOff>
      <xdr:row>6</xdr:row>
      <xdr:rowOff>183650</xdr:rowOff>
    </xdr:to>
    <xdr:sp macro="" textlink="">
      <xdr:nvSpPr>
        <xdr:cNvPr id="10" name="TextBox 9">
          <a:extLst>
            <a:ext uri="{FF2B5EF4-FFF2-40B4-BE49-F238E27FC236}">
              <a16:creationId xmlns:a16="http://schemas.microsoft.com/office/drawing/2014/main" id="{8D4D8BD0-13DB-46B4-75D4-2AB5B695123A}"/>
            </a:ext>
          </a:extLst>
        </xdr:cNvPr>
        <xdr:cNvSpPr txBox="1"/>
      </xdr:nvSpPr>
      <xdr:spPr>
        <a:xfrm>
          <a:off x="5736876" y="1028230"/>
          <a:ext cx="1335064" cy="259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F618D"/>
              </a:solidFill>
              <a:latin typeface="Source Sans Pro" panose="020B0503030403020204" pitchFamily="34" charset="0"/>
              <a:ea typeface="Source Sans Pro" panose="020B0503030403020204" pitchFamily="34" charset="0"/>
            </a:rPr>
            <a:t>Wind Speed</a:t>
          </a:r>
        </a:p>
      </xdr:txBody>
    </xdr:sp>
    <xdr:clientData/>
  </xdr:twoCellAnchor>
  <xdr:twoCellAnchor>
    <xdr:from>
      <xdr:col>0</xdr:col>
      <xdr:colOff>283280</xdr:colOff>
      <xdr:row>5</xdr:row>
      <xdr:rowOff>142423</xdr:rowOff>
    </xdr:from>
    <xdr:to>
      <xdr:col>1</xdr:col>
      <xdr:colOff>394137</xdr:colOff>
      <xdr:row>6</xdr:row>
      <xdr:rowOff>166414</xdr:rowOff>
    </xdr:to>
    <xdr:sp macro="" textlink="">
      <xdr:nvSpPr>
        <xdr:cNvPr id="12" name="TextBox 11">
          <a:extLst>
            <a:ext uri="{FF2B5EF4-FFF2-40B4-BE49-F238E27FC236}">
              <a16:creationId xmlns:a16="http://schemas.microsoft.com/office/drawing/2014/main" id="{2775C9FE-065A-4F9F-8776-C31D0F7B5BEA}"/>
            </a:ext>
          </a:extLst>
        </xdr:cNvPr>
        <xdr:cNvSpPr txBox="1"/>
      </xdr:nvSpPr>
      <xdr:spPr>
        <a:xfrm>
          <a:off x="283280" y="1062078"/>
          <a:ext cx="1345823" cy="2079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400" b="1" i="0" u="none" strike="noStrike">
              <a:solidFill>
                <a:srgbClr val="1F618D"/>
              </a:solidFill>
              <a:latin typeface="Source Sans Pro" panose="020B0503030403020204" pitchFamily="34" charset="0"/>
              <a:ea typeface="Source Sans Pro" panose="020B0503030403020204" pitchFamily="34" charset="0"/>
              <a:cs typeface="Calibri"/>
            </a:rPr>
            <a:t>Min</a:t>
          </a:r>
          <a:r>
            <a:rPr lang="en-IN" sz="1400" b="1" i="0" u="none" strike="noStrike" baseline="0">
              <a:solidFill>
                <a:srgbClr val="1F618D"/>
              </a:solidFill>
              <a:latin typeface="Source Sans Pro" panose="020B0503030403020204" pitchFamily="34" charset="0"/>
              <a:ea typeface="Source Sans Pro" panose="020B0503030403020204" pitchFamily="34" charset="0"/>
              <a:cs typeface="Calibri"/>
            </a:rPr>
            <a:t> Temp(°F)</a:t>
          </a:r>
          <a:endParaRPr lang="en-IN" sz="1400" b="1" i="0" u="none" strike="noStrike">
            <a:solidFill>
              <a:srgbClr val="1F618D"/>
            </a:solidFill>
            <a:latin typeface="Source Sans Pro" panose="020B0503030403020204" pitchFamily="34" charset="0"/>
            <a:ea typeface="Source Sans Pro" panose="020B0503030403020204" pitchFamily="34" charset="0"/>
            <a:cs typeface="Calibri"/>
          </a:endParaRPr>
        </a:p>
      </xdr:txBody>
    </xdr:sp>
    <xdr:clientData/>
  </xdr:twoCellAnchor>
  <xdr:twoCellAnchor editAs="oneCell">
    <xdr:from>
      <xdr:col>0</xdr:col>
      <xdr:colOff>102508</xdr:colOff>
      <xdr:row>9</xdr:row>
      <xdr:rowOff>116113</xdr:rowOff>
    </xdr:from>
    <xdr:to>
      <xdr:col>1</xdr:col>
      <xdr:colOff>9525</xdr:colOff>
      <xdr:row>34</xdr:row>
      <xdr:rowOff>38100</xdr:rowOff>
    </xdr:to>
    <mc:AlternateContent xmlns:mc="http://schemas.openxmlformats.org/markup-compatibility/2006" xmlns:a14="http://schemas.microsoft.com/office/drawing/2010/main">
      <mc:Choice Requires="a14">
        <xdr:graphicFrame macro="">
          <xdr:nvGraphicFramePr>
            <xdr:cNvPr id="15" name="Date">
              <a:extLst>
                <a:ext uri="{FF2B5EF4-FFF2-40B4-BE49-F238E27FC236}">
                  <a16:creationId xmlns:a16="http://schemas.microsoft.com/office/drawing/2014/main" id="{07BF4F10-CB84-4B20-ABD6-1AF337F59D6F}"/>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102508" y="1744888"/>
              <a:ext cx="1145267" cy="444636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0</xdr:colOff>
      <xdr:row>21</xdr:row>
      <xdr:rowOff>83820</xdr:rowOff>
    </xdr:from>
    <xdr:to>
      <xdr:col>7</xdr:col>
      <xdr:colOff>25200</xdr:colOff>
      <xdr:row>33</xdr:row>
      <xdr:rowOff>135660</xdr:rowOff>
    </xdr:to>
    <xdr:graphicFrame macro="">
      <xdr:nvGraphicFramePr>
        <xdr:cNvPr id="16" name="Conditions_Chart">
          <a:extLst>
            <a:ext uri="{FF2B5EF4-FFF2-40B4-BE49-F238E27FC236}">
              <a16:creationId xmlns:a16="http://schemas.microsoft.com/office/drawing/2014/main" id="{B4F7BF22-D057-40CA-BEF9-340801CC2E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21</xdr:row>
      <xdr:rowOff>100560</xdr:rowOff>
    </xdr:from>
    <xdr:to>
      <xdr:col>13</xdr:col>
      <xdr:colOff>25200</xdr:colOff>
      <xdr:row>33</xdr:row>
      <xdr:rowOff>152400</xdr:rowOff>
    </xdr:to>
    <xdr:graphicFrame macro="">
      <xdr:nvGraphicFramePr>
        <xdr:cNvPr id="17" name="Chart 16">
          <a:extLst>
            <a:ext uri="{FF2B5EF4-FFF2-40B4-BE49-F238E27FC236}">
              <a16:creationId xmlns:a16="http://schemas.microsoft.com/office/drawing/2014/main" id="{B42299BE-E324-4A72-A78D-95BD8B8B80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9</xdr:row>
      <xdr:rowOff>92529</xdr:rowOff>
    </xdr:from>
    <xdr:to>
      <xdr:col>7</xdr:col>
      <xdr:colOff>26152</xdr:colOff>
      <xdr:row>21</xdr:row>
      <xdr:rowOff>144780</xdr:rowOff>
    </xdr:to>
    <xdr:graphicFrame macro="">
      <xdr:nvGraphicFramePr>
        <xdr:cNvPr id="18" name="Min_Max_Chart">
          <a:extLst>
            <a:ext uri="{FF2B5EF4-FFF2-40B4-BE49-F238E27FC236}">
              <a16:creationId xmlns:a16="http://schemas.microsoft.com/office/drawing/2014/main" id="{BCCE0655-9B33-435E-B24A-1856C55DBF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609599</xdr:colOff>
      <xdr:row>9</xdr:row>
      <xdr:rowOff>106679</xdr:rowOff>
    </xdr:from>
    <xdr:to>
      <xdr:col>13</xdr:col>
      <xdr:colOff>25199</xdr:colOff>
      <xdr:row>21</xdr:row>
      <xdr:rowOff>158519</xdr:rowOff>
    </xdr:to>
    <xdr:graphicFrame macro="">
      <xdr:nvGraphicFramePr>
        <xdr:cNvPr id="19" name="HumidityvsWindSpeed_Chart">
          <a:extLst>
            <a:ext uri="{FF2B5EF4-FFF2-40B4-BE49-F238E27FC236}">
              <a16:creationId xmlns:a16="http://schemas.microsoft.com/office/drawing/2014/main" id="{FBBC570E-5971-49FC-B6CB-48EF48DA5E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308589</xdr:colOff>
      <xdr:row>5</xdr:row>
      <xdr:rowOff>123403</xdr:rowOff>
    </xdr:from>
    <xdr:to>
      <xdr:col>4</xdr:col>
      <xdr:colOff>367862</xdr:colOff>
      <xdr:row>6</xdr:row>
      <xdr:rowOff>183930</xdr:rowOff>
    </xdr:to>
    <xdr:sp macro="" textlink="">
      <xdr:nvSpPr>
        <xdr:cNvPr id="3" name="TextBox 2">
          <a:extLst>
            <a:ext uri="{FF2B5EF4-FFF2-40B4-BE49-F238E27FC236}">
              <a16:creationId xmlns:a16="http://schemas.microsoft.com/office/drawing/2014/main" id="{F5E3CAD0-9724-40CF-8865-78861291A537}"/>
            </a:ext>
          </a:extLst>
        </xdr:cNvPr>
        <xdr:cNvSpPr txBox="1"/>
      </xdr:nvSpPr>
      <xdr:spPr>
        <a:xfrm>
          <a:off x="2156658" y="1043058"/>
          <a:ext cx="1285480" cy="2444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400" b="1" i="0" u="none" strike="noStrike">
              <a:solidFill>
                <a:srgbClr val="1F618D"/>
              </a:solidFill>
              <a:latin typeface="Source Sans Pro" panose="020B0503030403020204" pitchFamily="34" charset="0"/>
              <a:ea typeface="Source Sans Pro" panose="020B0503030403020204" pitchFamily="34" charset="0"/>
              <a:cs typeface="Calibri"/>
            </a:rPr>
            <a:t>Max</a:t>
          </a:r>
          <a:r>
            <a:rPr lang="en-IN" sz="1400" b="1" i="0" u="none" strike="noStrike" baseline="0">
              <a:solidFill>
                <a:srgbClr val="1F618D"/>
              </a:solidFill>
              <a:latin typeface="Source Sans Pro" panose="020B0503030403020204" pitchFamily="34" charset="0"/>
              <a:ea typeface="Source Sans Pro" panose="020B0503030403020204" pitchFamily="34" charset="0"/>
              <a:cs typeface="Calibri"/>
            </a:rPr>
            <a:t> Temp(°F)</a:t>
          </a:r>
          <a:endParaRPr lang="en-IN" sz="1400" b="1" i="0" u="none" strike="noStrike">
            <a:solidFill>
              <a:srgbClr val="1F618D"/>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5</xdr:col>
      <xdr:colOff>308075</xdr:colOff>
      <xdr:row>5</xdr:row>
      <xdr:rowOff>114647</xdr:rowOff>
    </xdr:from>
    <xdr:to>
      <xdr:col>7</xdr:col>
      <xdr:colOff>309165</xdr:colOff>
      <xdr:row>6</xdr:row>
      <xdr:rowOff>163595</xdr:rowOff>
    </xdr:to>
    <xdr:sp macro="" textlink="">
      <xdr:nvSpPr>
        <xdr:cNvPr id="20" name="TextBox 19">
          <a:extLst>
            <a:ext uri="{FF2B5EF4-FFF2-40B4-BE49-F238E27FC236}">
              <a16:creationId xmlns:a16="http://schemas.microsoft.com/office/drawing/2014/main" id="{715AB764-EB68-441B-9427-F42CC2FC90C8}"/>
            </a:ext>
          </a:extLst>
        </xdr:cNvPr>
        <xdr:cNvSpPr txBox="1"/>
      </xdr:nvSpPr>
      <xdr:spPr>
        <a:xfrm>
          <a:off x="3995454" y="1034302"/>
          <a:ext cx="1227297" cy="23287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400" b="1" i="0" u="none" strike="noStrike">
              <a:solidFill>
                <a:srgbClr val="1F618D"/>
              </a:solidFill>
              <a:latin typeface="Source Sans Pro" panose="020B0503030403020204" pitchFamily="34" charset="0"/>
              <a:ea typeface="Source Sans Pro" panose="020B0503030403020204" pitchFamily="34" charset="0"/>
              <a:cs typeface="Calibri"/>
            </a:rPr>
            <a:t>Humidity</a:t>
          </a:r>
        </a:p>
      </xdr:txBody>
    </xdr:sp>
    <xdr:clientData/>
  </xdr:twoCellAnchor>
  <xdr:twoCellAnchor>
    <xdr:from>
      <xdr:col>11</xdr:col>
      <xdr:colOff>55418</xdr:colOff>
      <xdr:row>5</xdr:row>
      <xdr:rowOff>104845</xdr:rowOff>
    </xdr:from>
    <xdr:to>
      <xdr:col>13</xdr:col>
      <xdr:colOff>136769</xdr:colOff>
      <xdr:row>6</xdr:row>
      <xdr:rowOff>146539</xdr:rowOff>
    </xdr:to>
    <xdr:sp macro="" textlink="">
      <xdr:nvSpPr>
        <xdr:cNvPr id="21" name="TextBox 20">
          <a:extLst>
            <a:ext uri="{FF2B5EF4-FFF2-40B4-BE49-F238E27FC236}">
              <a16:creationId xmlns:a16="http://schemas.microsoft.com/office/drawing/2014/main" id="{B8D8DD4D-C4B0-4AD4-9C70-82C45209AC3E}"/>
            </a:ext>
          </a:extLst>
        </xdr:cNvPr>
        <xdr:cNvSpPr txBox="1"/>
      </xdr:nvSpPr>
      <xdr:spPr>
        <a:xfrm>
          <a:off x="7343264" y="1032922"/>
          <a:ext cx="1292736" cy="22730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400" b="1" i="0" u="none" strike="noStrike" baseline="0">
              <a:solidFill>
                <a:srgbClr val="1F618D"/>
              </a:solidFill>
              <a:latin typeface="Source Sans Pro" panose="020B0503030403020204" pitchFamily="34" charset="0"/>
              <a:ea typeface="Source Sans Pro" panose="020B0503030403020204" pitchFamily="34" charset="0"/>
              <a:cs typeface="Calibri"/>
            </a:rPr>
            <a:t>Precipitation</a:t>
          </a:r>
          <a:endParaRPr lang="en-IN" sz="1400" b="1" i="0" u="none" strike="noStrike">
            <a:solidFill>
              <a:srgbClr val="1F618D"/>
            </a:solidFill>
            <a:latin typeface="Source Sans Pro" panose="020B0503030403020204" pitchFamily="34" charset="0"/>
            <a:ea typeface="Source Sans Pro" panose="020B0503030403020204" pitchFamily="34" charset="0"/>
            <a:cs typeface="Calibri"/>
          </a:endParaRPr>
        </a:p>
      </xdr:txBody>
    </xdr:sp>
    <xdr:clientData/>
  </xdr:twoCellAnchor>
  <xdr:twoCellAnchor editAs="oneCell">
    <xdr:from>
      <xdr:col>10</xdr:col>
      <xdr:colOff>381511</xdr:colOff>
      <xdr:row>5</xdr:row>
      <xdr:rowOff>142875</xdr:rowOff>
    </xdr:from>
    <xdr:to>
      <xdr:col>11</xdr:col>
      <xdr:colOff>181487</xdr:colOff>
      <xdr:row>8</xdr:row>
      <xdr:rowOff>133350</xdr:rowOff>
    </xdr:to>
    <xdr:pic>
      <xdr:nvPicPr>
        <xdr:cNvPr id="25" name="Picture 24">
          <a:extLst>
            <a:ext uri="{FF2B5EF4-FFF2-40B4-BE49-F238E27FC236}">
              <a16:creationId xmlns:a16="http://schemas.microsoft.com/office/drawing/2014/main" id="{EF7026EE-8518-560E-2000-481478565F5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344411" y="1047750"/>
          <a:ext cx="409575" cy="533400"/>
        </a:xfrm>
        <a:prstGeom prst="rect">
          <a:avLst/>
        </a:prstGeom>
      </xdr:spPr>
    </xdr:pic>
    <xdr:clientData/>
  </xdr:twoCellAnchor>
  <xdr:twoCellAnchor editAs="oneCell">
    <xdr:from>
      <xdr:col>2</xdr:col>
      <xdr:colOff>9526</xdr:colOff>
      <xdr:row>5</xdr:row>
      <xdr:rowOff>28575</xdr:rowOff>
    </xdr:from>
    <xdr:to>
      <xdr:col>2</xdr:col>
      <xdr:colOff>352424</xdr:colOff>
      <xdr:row>9</xdr:row>
      <xdr:rowOff>40177</xdr:rowOff>
    </xdr:to>
    <xdr:pic>
      <xdr:nvPicPr>
        <xdr:cNvPr id="27" name="Picture 26">
          <a:extLst>
            <a:ext uri="{FF2B5EF4-FFF2-40B4-BE49-F238E27FC236}">
              <a16:creationId xmlns:a16="http://schemas.microsoft.com/office/drawing/2014/main" id="{C6257308-5534-C1A8-9579-7B9AA1208B2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r="53379"/>
        <a:stretch>
          <a:fillRect/>
        </a:stretch>
      </xdr:blipFill>
      <xdr:spPr>
        <a:xfrm>
          <a:off x="3095626" y="933450"/>
          <a:ext cx="342898" cy="735502"/>
        </a:xfrm>
        <a:prstGeom prst="rect">
          <a:avLst/>
        </a:prstGeom>
      </xdr:spPr>
    </xdr:pic>
    <xdr:clientData/>
  </xdr:twoCellAnchor>
  <xdr:twoCellAnchor editAs="oneCell">
    <xdr:from>
      <xdr:col>0</xdr:col>
      <xdr:colOff>161547</xdr:colOff>
      <xdr:row>5</xdr:row>
      <xdr:rowOff>28576</xdr:rowOff>
    </xdr:from>
    <xdr:to>
      <xdr:col>0</xdr:col>
      <xdr:colOff>435429</xdr:colOff>
      <xdr:row>9</xdr:row>
      <xdr:rowOff>66676</xdr:rowOff>
    </xdr:to>
    <xdr:pic>
      <xdr:nvPicPr>
        <xdr:cNvPr id="29" name="Picture 28">
          <a:extLst>
            <a:ext uri="{FF2B5EF4-FFF2-40B4-BE49-F238E27FC236}">
              <a16:creationId xmlns:a16="http://schemas.microsoft.com/office/drawing/2014/main" id="{B3481E9B-8687-5EE0-E207-6D78AA12E94A}"/>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54153" r="9904"/>
        <a:stretch>
          <a:fillRect/>
        </a:stretch>
      </xdr:blipFill>
      <xdr:spPr>
        <a:xfrm>
          <a:off x="161547" y="935719"/>
          <a:ext cx="273882" cy="763814"/>
        </a:xfrm>
        <a:prstGeom prst="rect">
          <a:avLst/>
        </a:prstGeom>
      </xdr:spPr>
    </xdr:pic>
    <xdr:clientData/>
  </xdr:twoCellAnchor>
  <xdr:twoCellAnchor editAs="oneCell">
    <xdr:from>
      <xdr:col>7</xdr:col>
      <xdr:colOff>545193</xdr:colOff>
      <xdr:row>6</xdr:row>
      <xdr:rowOff>16783</xdr:rowOff>
    </xdr:from>
    <xdr:to>
      <xdr:col>8</xdr:col>
      <xdr:colOff>392183</xdr:colOff>
      <xdr:row>8</xdr:row>
      <xdr:rowOff>48810</xdr:rowOff>
    </xdr:to>
    <xdr:pic>
      <xdr:nvPicPr>
        <xdr:cNvPr id="35" name="Picture 34">
          <a:extLst>
            <a:ext uri="{FF2B5EF4-FFF2-40B4-BE49-F238E27FC236}">
              <a16:creationId xmlns:a16="http://schemas.microsoft.com/office/drawing/2014/main" id="{FEF6D54C-D46F-63AB-E70C-1EE0AC46445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425622" y="1105354"/>
          <a:ext cx="454775" cy="394885"/>
        </a:xfrm>
        <a:prstGeom prst="rect">
          <a:avLst/>
        </a:prstGeom>
      </xdr:spPr>
    </xdr:pic>
    <xdr:clientData/>
  </xdr:twoCellAnchor>
  <xdr:twoCellAnchor editAs="oneCell">
    <xdr:from>
      <xdr:col>5</xdr:col>
      <xdr:colOff>85730</xdr:colOff>
      <xdr:row>5</xdr:row>
      <xdr:rowOff>170684</xdr:rowOff>
    </xdr:from>
    <xdr:to>
      <xdr:col>5</xdr:col>
      <xdr:colOff>533404</xdr:colOff>
      <xdr:row>8</xdr:row>
      <xdr:rowOff>75433</xdr:rowOff>
    </xdr:to>
    <xdr:pic>
      <xdr:nvPicPr>
        <xdr:cNvPr id="37" name="Picture 36">
          <a:extLst>
            <a:ext uri="{FF2B5EF4-FFF2-40B4-BE49-F238E27FC236}">
              <a16:creationId xmlns:a16="http://schemas.microsoft.com/office/drawing/2014/main" id="{EC470174-0D12-62A6-0C54-31629C98F526}"/>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773109" y="1090339"/>
          <a:ext cx="447674" cy="456542"/>
        </a:xfrm>
        <a:prstGeom prst="rect">
          <a:avLst/>
        </a:prstGeom>
      </xdr:spPr>
    </xdr:pic>
    <xdr:clientData/>
  </xdr:twoCellAnchor>
  <xdr:twoCellAnchor editAs="oneCell">
    <xdr:from>
      <xdr:col>11</xdr:col>
      <xdr:colOff>171450</xdr:colOff>
      <xdr:row>0</xdr:row>
      <xdr:rowOff>152401</xdr:rowOff>
    </xdr:from>
    <xdr:to>
      <xdr:col>12</xdr:col>
      <xdr:colOff>322711</xdr:colOff>
      <xdr:row>5</xdr:row>
      <xdr:rowOff>8388</xdr:rowOff>
    </xdr:to>
    <xdr:pic>
      <xdr:nvPicPr>
        <xdr:cNvPr id="40" name="Picture 39">
          <a:extLst>
            <a:ext uri="{FF2B5EF4-FFF2-40B4-BE49-F238E27FC236}">
              <a16:creationId xmlns:a16="http://schemas.microsoft.com/office/drawing/2014/main" id="{C15849B5-8059-7159-6F89-2018CF32F232}"/>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8743950" y="152401"/>
          <a:ext cx="760862" cy="760862"/>
        </a:xfrm>
        <a:prstGeom prst="rect">
          <a:avLst/>
        </a:prstGeom>
      </xdr:spPr>
    </xdr:pic>
    <xdr:clientData/>
  </xdr:twoCellAnchor>
  <xdr:twoCellAnchor>
    <xdr:from>
      <xdr:col>0</xdr:col>
      <xdr:colOff>228600</xdr:colOff>
      <xdr:row>2</xdr:row>
      <xdr:rowOff>160020</xdr:rowOff>
    </xdr:from>
    <xdr:to>
      <xdr:col>3</xdr:col>
      <xdr:colOff>190500</xdr:colOff>
      <xdr:row>4</xdr:row>
      <xdr:rowOff>152400</xdr:rowOff>
    </xdr:to>
    <xdr:sp macro="" textlink="">
      <xdr:nvSpPr>
        <xdr:cNvPr id="41" name="TextBox 40">
          <a:extLst>
            <a:ext uri="{FF2B5EF4-FFF2-40B4-BE49-F238E27FC236}">
              <a16:creationId xmlns:a16="http://schemas.microsoft.com/office/drawing/2014/main" id="{F6DBE4CC-5EE4-492B-8192-C3AF5B6D8050}"/>
            </a:ext>
          </a:extLst>
        </xdr:cNvPr>
        <xdr:cNvSpPr txBox="1"/>
      </xdr:nvSpPr>
      <xdr:spPr>
        <a:xfrm>
          <a:off x="1466850" y="521970"/>
          <a:ext cx="2419350" cy="3543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800" b="1" baseline="0">
              <a:solidFill>
                <a:srgbClr val="00B8D9"/>
              </a:solidFill>
              <a:latin typeface="Source Sans Pro" panose="020B0503030403020204" pitchFamily="34" charset="0"/>
              <a:ea typeface="Source Sans Pro" panose="020B0503030403020204" pitchFamily="34" charset="0"/>
            </a:rPr>
            <a:t> Region: Coimbatore</a:t>
          </a:r>
          <a:endParaRPr lang="en-IN" sz="1800" b="1">
            <a:solidFill>
              <a:srgbClr val="00B8D9"/>
            </a:solidFill>
            <a:latin typeface="Source Sans Pro" panose="020B0503030403020204" pitchFamily="34" charset="0"/>
            <a:ea typeface="Source Sans Pro" panose="020B0503030403020204" pitchFamily="34" charset="0"/>
          </a:endParaRPr>
        </a:p>
      </xdr:txBody>
    </xdr:sp>
    <xdr:clientData/>
  </xdr:twoCellAnchor>
  <xdr:twoCellAnchor>
    <xdr:from>
      <xdr:col>9</xdr:col>
      <xdr:colOff>395467</xdr:colOff>
      <xdr:row>1</xdr:row>
      <xdr:rowOff>135038</xdr:rowOff>
    </xdr:from>
    <xdr:to>
      <xdr:col>11</xdr:col>
      <xdr:colOff>96454</xdr:colOff>
      <xdr:row>4</xdr:row>
      <xdr:rowOff>9646</xdr:rowOff>
    </xdr:to>
    <xdr:sp macro="[0]!Sheet3.RefreshWeatherData" textlink="">
      <xdr:nvSpPr>
        <xdr:cNvPr id="11" name="Refresh">
          <a:extLst>
            <a:ext uri="{FF2B5EF4-FFF2-40B4-BE49-F238E27FC236}">
              <a16:creationId xmlns:a16="http://schemas.microsoft.com/office/drawing/2014/main" id="{20C15B05-712E-D2DD-AB96-24A2549A4663}"/>
            </a:ext>
          </a:extLst>
        </xdr:cNvPr>
        <xdr:cNvSpPr/>
      </xdr:nvSpPr>
      <xdr:spPr>
        <a:xfrm>
          <a:off x="6491467" y="318304"/>
          <a:ext cx="916329" cy="424405"/>
        </a:xfrm>
        <a:prstGeom prst="ellipse">
          <a:avLst/>
        </a:prstGeom>
        <a:solidFill>
          <a:srgbClr val="00B8D9"/>
        </a:solidFill>
        <a:ln>
          <a:no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IN" sz="1100" b="0">
              <a:solidFill>
                <a:schemeClr val="bg1"/>
              </a:solidFill>
              <a:latin typeface="Source Sans Pro" panose="020B0503030403020204" pitchFamily="34" charset="0"/>
              <a:ea typeface="Source Sans Pro" panose="020B0503030403020204" pitchFamily="34" charset="0"/>
            </a:rPr>
            <a:t>Refresh</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m" refreshedDate="45938.27478310185" createdVersion="8" refreshedVersion="8" minRefreshableVersion="3" recordCount="15" xr:uid="{BF06D4EE-A387-4C84-9320-803F2CAC638E}">
  <cacheSource type="worksheet">
    <worksheetSource name="Conditions_Table"/>
  </cacheSource>
  <cacheFields count="5">
    <cacheField name="Date" numFmtId="14">
      <sharedItems containsSemiMixedTypes="0" containsNonDate="0" containsDate="1" containsString="0" minDate="2025-07-27T00:00:00" maxDate="2025-10-23T00:00:00" count="88">
        <d v="2025-10-08T00:00:00"/>
        <d v="2025-10-09T00:00:00"/>
        <d v="2025-10-10T00:00:00"/>
        <d v="2025-10-11T00:00:00"/>
        <d v="2025-10-12T00:00:00"/>
        <d v="2025-10-13T00:00:00"/>
        <d v="2025-10-14T00:00:00"/>
        <d v="2025-10-15T00:00:00"/>
        <d v="2025-10-16T00:00:00"/>
        <d v="2025-10-17T00:00:00"/>
        <d v="2025-10-18T00:00:00"/>
        <d v="2025-10-19T00:00:00"/>
        <d v="2025-10-20T00:00:00"/>
        <d v="2025-10-21T00:00:00"/>
        <d v="2025-10-22T00:00:00"/>
        <d v="2025-10-04T00:00:00" u="1"/>
        <d v="2025-10-05T00:00:00" u="1"/>
        <d v="2025-10-06T00:00:00" u="1"/>
        <d v="2025-10-07T00:00:00" u="1"/>
        <d v="2025-09-25T00:00:00" u="1"/>
        <d v="2025-09-26T00:00:00" u="1"/>
        <d v="2025-09-27T00:00:00" u="1"/>
        <d v="2025-09-28T00:00:00" u="1"/>
        <d v="2025-09-29T00:00:00" u="1"/>
        <d v="2025-09-30T00:00:00" u="1"/>
        <d v="2025-10-01T00:00:00" u="1"/>
        <d v="2025-10-02T00:00:00" u="1"/>
        <d v="2025-10-03T00:00:00" u="1"/>
        <d v="2025-09-16T00:00:00" u="1"/>
        <d v="2025-09-17T00:00:00" u="1"/>
        <d v="2025-09-18T00:00:00" u="1"/>
        <d v="2025-09-19T00:00:00" u="1"/>
        <d v="2025-09-20T00:00:00" u="1"/>
        <d v="2025-09-21T00:00:00" u="1"/>
        <d v="2025-09-22T00:00:00" u="1"/>
        <d v="2025-09-23T00:00:00" u="1"/>
        <d v="2025-09-24T00:00:00" u="1"/>
        <d v="2025-09-09T00:00:00" u="1"/>
        <d v="2025-09-10T00:00:00" u="1"/>
        <d v="2025-09-11T00:00:00" u="1"/>
        <d v="2025-09-12T00:00:00" u="1"/>
        <d v="2025-09-13T00:00:00" u="1"/>
        <d v="2025-09-14T00:00:00" u="1"/>
        <d v="2025-09-15T00:00:00" u="1"/>
        <d v="2025-09-03T00:00:00" u="1"/>
        <d v="2025-09-04T00:00:00" u="1"/>
        <d v="2025-09-05T00:00:00" u="1"/>
        <d v="2025-09-06T00:00:00" u="1"/>
        <d v="2025-09-07T00:00:00" u="1"/>
        <d v="2025-09-08T00:00:00" u="1"/>
        <d v="2025-08-19T00:00:00" u="1"/>
        <d v="2025-08-20T00:00:00" u="1"/>
        <d v="2025-08-21T00:00:00" u="1"/>
        <d v="2025-08-22T00:00:00" u="1"/>
        <d v="2025-08-23T00:00:00" u="1"/>
        <d v="2025-08-24T00:00:00" u="1"/>
        <d v="2025-08-25T00:00:00" u="1"/>
        <d v="2025-08-26T00:00:00" u="1"/>
        <d v="2025-08-27T00:00:00" u="1"/>
        <d v="2025-08-28T00:00:00" u="1"/>
        <d v="2025-08-29T00:00:00" u="1"/>
        <d v="2025-08-30T00:00:00" u="1"/>
        <d v="2025-08-31T00:00:00" u="1"/>
        <d v="2025-09-01T00:00:00" u="1"/>
        <d v="2025-09-02T00:00:00" u="1"/>
        <d v="2025-08-18T00:00:00" u="1"/>
        <d v="2025-08-17T00:00:00" u="1"/>
        <d v="2025-08-12T00:00:00" u="1"/>
        <d v="2025-08-13T00:00:00" u="1"/>
        <d v="2025-08-14T00:00:00" u="1"/>
        <d v="2025-08-15T00:00:00" u="1"/>
        <d v="2025-08-16T00:00:00" u="1"/>
        <d v="2025-08-10T00:00:00" u="1"/>
        <d v="2025-08-11T00:00:00" u="1"/>
        <d v="2025-08-05T00:00:00" u="1"/>
        <d v="2025-08-06T00:00:00" u="1"/>
        <d v="2025-08-07T00:00:00" u="1"/>
        <d v="2025-08-08T00:00:00" u="1"/>
        <d v="2025-08-09T00:00:00" u="1"/>
        <d v="2025-08-03T00:00:00" u="1"/>
        <d v="2025-08-04T00:00:00" u="1"/>
        <d v="2025-08-02T00:00:00" u="1"/>
        <d v="2025-08-01T00:00:00" u="1"/>
        <d v="2025-07-31T00:00:00" u="1"/>
        <d v="2025-07-30T00:00:00" u="1"/>
        <d v="2025-07-29T00:00:00" u="1"/>
        <d v="2025-07-28T00:00:00" u="1"/>
        <d v="2025-07-27T00:00:00" u="1"/>
      </sharedItems>
      <fieldGroup par="4"/>
    </cacheField>
    <cacheField name="Conditions" numFmtId="0">
      <sharedItems count="4">
        <s v="Rain, Partially cloudy"/>
        <s v="Rain, Overcast"/>
        <s v="Partially cloudy" u="1"/>
        <s v="Overcast" u="1"/>
      </sharedItems>
    </cacheField>
    <cacheField name="Description" numFmtId="0">
      <sharedItems count="22">
        <s v="Becoming cloudy in the afternoon with storms possible."/>
        <s v="Partly cloudy throughout the day with storms possible."/>
        <s v="Cloudy skies throughout the day with storms possible."/>
        <s v="Cloudy skies throughout the day with a chance of rain."/>
        <s v="Cloudy skies throughout the day with a chance of rain throughout the day." u="1"/>
        <s v="Partly cloudy throughout the day with early morning rain." u="1"/>
        <s v="Clearing in the afternoon with late afternoon rain." u="1"/>
        <s v="Partly cloudy throughout the day." u="1"/>
        <s v="Cloudy skies throughout the day." u="1"/>
        <s v="Partly cloudy throughout the day with a chance of rain." u="1"/>
        <s v="Clearing in the afternoon with storms possible." u="1"/>
        <s v="Partly cloudy throughout the day with afternoon rain." u="1"/>
        <s v="Partly cloudy throughout the day with late afternoon rain." u="1"/>
        <s v="Cloudy skies throughout the day with late afternoon rain." u="1"/>
        <s v="Cloudy skies throughout the day with afternoon rain." u="1"/>
        <s v="Clearing in the afternoon." u="1"/>
        <s v="Cloudy skies throughout the day with rain." u="1"/>
        <s v="Partly cloudy throughout the day with a chance of rain throughout the day." u="1"/>
        <s v="Clearing in the afternoon with a chance of rain." u="1"/>
        <s v="Partly cloudy throughout the day with rain." u="1"/>
        <s v="Cloudy skies throughout the day with early morning rain." u="1"/>
        <s v="Becoming cloudy in the afternoon." u="1"/>
      </sharedItems>
    </cacheField>
    <cacheField name="Days (Date)" numFmtId="0" databaseField="0">
      <fieldGroup base="0">
        <rangePr groupBy="days" startDate="2025-10-08T00:00:00" endDate="2025-10-23T00:00:00"/>
        <groupItems count="368">
          <s v="&lt;08-10-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3-10-2025"/>
        </groupItems>
      </fieldGroup>
    </cacheField>
    <cacheField name="Months (Date)" numFmtId="0" databaseField="0">
      <fieldGroup base="0">
        <rangePr groupBy="months" startDate="2025-10-08T00:00:00" endDate="2025-10-23T00:00:00"/>
        <groupItems count="14">
          <s v="&lt;08-10-2025"/>
          <s v="Jan"/>
          <s v="Feb"/>
          <s v="Mar"/>
          <s v="Apr"/>
          <s v="May"/>
          <s v="Jun"/>
          <s v="Jul"/>
          <s v="Aug"/>
          <s v="Sep"/>
          <s v="Oct"/>
          <s v="Nov"/>
          <s v="Dec"/>
          <s v="&gt;23-10-202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m" refreshedDate="45938.274783217596" createdVersion="8" refreshedVersion="8" minRefreshableVersion="3" recordCount="15" xr:uid="{4B108B28-0085-4449-8DA6-89815B22701E}">
  <cacheSource type="worksheet">
    <worksheetSource name="Weather_Table"/>
  </cacheSource>
  <cacheFields count="14">
    <cacheField name="Date" numFmtId="14">
      <sharedItems containsSemiMixedTypes="0" containsNonDate="0" containsDate="1" containsString="0" minDate="2025-07-26T00:00:00" maxDate="2025-10-23T00:00:00" count="89">
        <d v="2025-10-08T00:00:00"/>
        <d v="2025-10-09T00:00:00"/>
        <d v="2025-10-10T00:00:00"/>
        <d v="2025-10-11T00:00:00"/>
        <d v="2025-10-12T00:00:00"/>
        <d v="2025-10-13T00:00:00"/>
        <d v="2025-10-14T00:00:00"/>
        <d v="2025-10-15T00:00:00"/>
        <d v="2025-10-16T00:00:00"/>
        <d v="2025-10-17T00:00:00"/>
        <d v="2025-10-18T00:00:00"/>
        <d v="2025-10-19T00:00:00"/>
        <d v="2025-10-20T00:00:00"/>
        <d v="2025-10-21T00:00:00"/>
        <d v="2025-10-22T00:00:00"/>
        <d v="2025-10-04T00:00:00" u="1"/>
        <d v="2025-10-05T00:00:00" u="1"/>
        <d v="2025-10-06T00:00:00" u="1"/>
        <d v="2025-10-07T00:00:00" u="1"/>
        <d v="2025-09-30T00:00:00" u="1"/>
        <d v="2025-10-01T00:00:00" u="1"/>
        <d v="2025-10-02T00:00:00" u="1"/>
        <d v="2025-10-03T00:00:00" u="1"/>
        <d v="2025-09-25T00:00:00" u="1"/>
        <d v="2025-09-26T00:00:00" u="1"/>
        <d v="2025-09-27T00:00:00" u="1"/>
        <d v="2025-09-28T00:00:00" u="1"/>
        <d v="2025-09-29T00:00:00" u="1"/>
        <d v="2025-09-16T00:00:00" u="1"/>
        <d v="2025-09-17T00:00:00" u="1"/>
        <d v="2025-09-18T00:00:00" u="1"/>
        <d v="2025-09-19T00:00:00" u="1"/>
        <d v="2025-09-20T00:00:00" u="1"/>
        <d v="2025-09-21T00:00:00" u="1"/>
        <d v="2025-09-22T00:00:00" u="1"/>
        <d v="2025-09-23T00:00:00" u="1"/>
        <d v="2025-09-24T00:00:00" u="1"/>
        <d v="2025-09-09T00:00:00" u="1"/>
        <d v="2025-09-10T00:00:00" u="1"/>
        <d v="2025-09-11T00:00:00" u="1"/>
        <d v="2025-09-12T00:00:00" u="1"/>
        <d v="2025-09-13T00:00:00" u="1"/>
        <d v="2025-09-14T00:00:00" u="1"/>
        <d v="2025-09-15T00:00:00" u="1"/>
        <d v="2025-09-03T00:00:00" u="1"/>
        <d v="2025-09-04T00:00:00" u="1"/>
        <d v="2025-09-05T00:00:00" u="1"/>
        <d v="2025-09-06T00:00:00" u="1"/>
        <d v="2025-09-07T00:00:00" u="1"/>
        <d v="2025-09-08T00:00:00" u="1"/>
        <d v="2025-08-19T00:00:00" u="1"/>
        <d v="2025-08-20T00:00:00" u="1"/>
        <d v="2025-08-21T00:00:00" u="1"/>
        <d v="2025-08-22T00:00:00" u="1"/>
        <d v="2025-08-23T00:00:00" u="1"/>
        <d v="2025-08-24T00:00:00" u="1"/>
        <d v="2025-08-25T00:00:00" u="1"/>
        <d v="2025-08-26T00:00:00" u="1"/>
        <d v="2025-08-27T00:00:00" u="1"/>
        <d v="2025-08-28T00:00:00" u="1"/>
        <d v="2025-08-29T00:00:00" u="1"/>
        <d v="2025-08-30T00:00:00" u="1"/>
        <d v="2025-08-31T00:00:00" u="1"/>
        <d v="2025-09-01T00:00:00" u="1"/>
        <d v="2025-09-02T00:00:00" u="1"/>
        <d v="2025-08-18T00:00:00" u="1"/>
        <d v="2025-08-17T00:00:00" u="1"/>
        <d v="2025-08-12T00:00:00" u="1"/>
        <d v="2025-08-13T00:00:00" u="1"/>
        <d v="2025-08-14T00:00:00" u="1"/>
        <d v="2025-08-15T00:00:00" u="1"/>
        <d v="2025-08-16T00:00:00" u="1"/>
        <d v="2025-08-10T00:00:00" u="1"/>
        <d v="2025-08-11T00:00:00" u="1"/>
        <d v="2025-08-05T00:00:00" u="1"/>
        <d v="2025-08-06T00:00:00" u="1"/>
        <d v="2025-08-07T00:00:00" u="1"/>
        <d v="2025-08-08T00:00:00" u="1"/>
        <d v="2025-08-09T00:00:00" u="1"/>
        <d v="2025-08-03T00:00:00" u="1"/>
        <d v="2025-08-04T00:00:00" u="1"/>
        <d v="2025-08-02T00:00:00" u="1"/>
        <d v="2025-08-01T00:00:00" u="1"/>
        <d v="2025-07-31T00:00:00" u="1"/>
        <d v="2025-07-30T00:00:00" u="1"/>
        <d v="2025-07-29T00:00:00" u="1"/>
        <d v="2025-07-28T00:00:00" u="1"/>
        <d v="2025-07-27T00:00:00" u="1"/>
        <d v="2025-07-26T00:00:00" u="1"/>
      </sharedItems>
      <fieldGroup par="13"/>
    </cacheField>
    <cacheField name="Max Temp(°F)" numFmtId="0">
      <sharedItems containsSemiMixedTypes="0" containsString="0" containsNumber="1" minValue="83" maxValue="87.7"/>
    </cacheField>
    <cacheField name="Min Temp(°F)" numFmtId="0">
      <sharedItems containsSemiMixedTypes="0" containsString="0" containsNumber="1" minValue="71.5" maxValue="73.7"/>
    </cacheField>
    <cacheField name="Temp(°F)" numFmtId="0">
      <sharedItems containsSemiMixedTypes="0" containsString="0" containsNumber="1" minValue="76.2" maxValue="79"/>
    </cacheField>
    <cacheField name="Humidity" numFmtId="0">
      <sharedItems containsSemiMixedTypes="0" containsString="0" containsNumber="1" minValue="73.8" maxValue="83.1"/>
    </cacheField>
    <cacheField name="Precipitation" numFmtId="0">
      <sharedItems containsSemiMixedTypes="0" containsString="0" containsNumber="1" minValue="0.10299999999999999" maxValue="0.96"/>
    </cacheField>
    <cacheField name="Wind Speed" numFmtId="0">
      <sharedItems containsSemiMixedTypes="0" containsString="0" containsNumber="1" minValue="4" maxValue="11.4"/>
    </cacheField>
    <cacheField name="UV Index" numFmtId="0">
      <sharedItems containsSemiMixedTypes="0" containsString="0" containsNumber="1" containsInteger="1" minValue="6" maxValue="10"/>
    </cacheField>
    <cacheField name="Sunrise" numFmtId="0">
      <sharedItems/>
    </cacheField>
    <cacheField name="Sunset" numFmtId="0">
      <sharedItems/>
    </cacheField>
    <cacheField name="Conditions" numFmtId="0">
      <sharedItems/>
    </cacheField>
    <cacheField name="Description" numFmtId="0">
      <sharedItems/>
    </cacheField>
    <cacheField name="Days (Date)" numFmtId="0" databaseField="0">
      <fieldGroup base="0">
        <rangePr groupBy="days" startDate="2025-10-08T00:00:00" endDate="2025-10-23T00:00:00"/>
        <groupItems count="368">
          <s v="&lt;08-10-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3-10-2025"/>
        </groupItems>
      </fieldGroup>
    </cacheField>
    <cacheField name="Months (Date)" numFmtId="0" databaseField="0">
      <fieldGroup base="0">
        <rangePr groupBy="months" startDate="2025-10-08T00:00:00" endDate="2025-10-23T00:00:00"/>
        <groupItems count="14">
          <s v="&lt;08-10-2025"/>
          <s v="Jan"/>
          <s v="Feb"/>
          <s v="Mar"/>
          <s v="Apr"/>
          <s v="May"/>
          <s v="Jun"/>
          <s v="Jul"/>
          <s v="Aug"/>
          <s v="Sep"/>
          <s v="Oct"/>
          <s v="Nov"/>
          <s v="Dec"/>
          <s v="&gt;23-10-2025"/>
        </groupItems>
      </fieldGroup>
    </cacheField>
  </cacheFields>
  <extLst>
    <ext xmlns:x14="http://schemas.microsoft.com/office/spreadsheetml/2009/9/main" uri="{725AE2AE-9491-48be-B2B4-4EB974FC3084}">
      <x14:pivotCacheDefinition pivotCacheId="33008390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x v="0"/>
    <x v="0"/>
  </r>
  <r>
    <x v="1"/>
    <x v="0"/>
    <x v="1"/>
  </r>
  <r>
    <x v="2"/>
    <x v="1"/>
    <x v="2"/>
  </r>
  <r>
    <x v="3"/>
    <x v="0"/>
    <x v="1"/>
  </r>
  <r>
    <x v="4"/>
    <x v="1"/>
    <x v="2"/>
  </r>
  <r>
    <x v="5"/>
    <x v="0"/>
    <x v="1"/>
  </r>
  <r>
    <x v="6"/>
    <x v="0"/>
    <x v="1"/>
  </r>
  <r>
    <x v="7"/>
    <x v="0"/>
    <x v="1"/>
  </r>
  <r>
    <x v="8"/>
    <x v="1"/>
    <x v="3"/>
  </r>
  <r>
    <x v="9"/>
    <x v="1"/>
    <x v="2"/>
  </r>
  <r>
    <x v="10"/>
    <x v="0"/>
    <x v="1"/>
  </r>
  <r>
    <x v="11"/>
    <x v="0"/>
    <x v="1"/>
  </r>
  <r>
    <x v="12"/>
    <x v="0"/>
    <x v="1"/>
  </r>
  <r>
    <x v="13"/>
    <x v="0"/>
    <x v="1"/>
  </r>
  <r>
    <x v="14"/>
    <x v="0"/>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n v="87.7"/>
    <n v="72.599999999999994"/>
    <n v="79"/>
    <n v="75.599999999999994"/>
    <n v="0.73399999999999999"/>
    <n v="8.3000000000000007"/>
    <n v="10"/>
    <s v="06:10:56"/>
    <s v="18:08:23"/>
    <s v="Rain, Partially cloudy"/>
    <s v="Becoming cloudy in the afternoon with storms possible."/>
  </r>
  <r>
    <x v="1"/>
    <n v="86.1"/>
    <n v="72.2"/>
    <n v="77.7"/>
    <n v="78.599999999999994"/>
    <n v="0.20300000000000001"/>
    <n v="11.4"/>
    <n v="9"/>
    <s v="06:10:57"/>
    <s v="18:07:49"/>
    <s v="Rain, Partially cloudy"/>
    <s v="Partly cloudy throughout the day with storms possible."/>
  </r>
  <r>
    <x v="2"/>
    <n v="84.1"/>
    <n v="72.099999999999994"/>
    <n v="77"/>
    <n v="79.3"/>
    <n v="0.48599999999999999"/>
    <n v="9.1999999999999993"/>
    <n v="9"/>
    <s v="06:10:58"/>
    <s v="18:07:15"/>
    <s v="Rain, Overcast"/>
    <s v="Cloudy skies throughout the day with storms possible."/>
  </r>
  <r>
    <x v="3"/>
    <n v="84.8"/>
    <n v="73.3"/>
    <n v="77.5"/>
    <n v="78.2"/>
    <n v="0.42199999999999999"/>
    <n v="9.4"/>
    <n v="10"/>
    <s v="06:11:00"/>
    <s v="18:06:41"/>
    <s v="Rain, Partially cloudy"/>
    <s v="Partly cloudy throughout the day with storms possible."/>
  </r>
  <r>
    <x v="4"/>
    <n v="85.6"/>
    <n v="72.400000000000006"/>
    <n v="76.8"/>
    <n v="78.7"/>
    <n v="0.30399999999999999"/>
    <n v="8.6999999999999993"/>
    <n v="9"/>
    <s v="06:11:02"/>
    <s v="18:06:09"/>
    <s v="Rain, Overcast"/>
    <s v="Cloudy skies throughout the day with storms possible."/>
  </r>
  <r>
    <x v="5"/>
    <n v="85.4"/>
    <n v="71.900000000000006"/>
    <n v="77.099999999999994"/>
    <n v="77.599999999999994"/>
    <n v="0.496"/>
    <n v="8.5"/>
    <n v="9"/>
    <s v="06:11:05"/>
    <s v="18:05:36"/>
    <s v="Rain, Partially cloudy"/>
    <s v="Partly cloudy throughout the day with storms possible."/>
  </r>
  <r>
    <x v="6"/>
    <n v="87.3"/>
    <n v="71.5"/>
    <n v="78.3"/>
    <n v="73.8"/>
    <n v="0.10299999999999999"/>
    <n v="8.5"/>
    <n v="9"/>
    <s v="06:11:08"/>
    <s v="18:05:04"/>
    <s v="Rain, Partially cloudy"/>
    <s v="Partly cloudy throughout the day with storms possible."/>
  </r>
  <r>
    <x v="7"/>
    <n v="86.8"/>
    <n v="72.099999999999994"/>
    <n v="77.900000000000006"/>
    <n v="75.3"/>
    <n v="0.32700000000000001"/>
    <n v="7.8"/>
    <n v="9"/>
    <s v="06:11:12"/>
    <s v="18:04:33"/>
    <s v="Rain, Partially cloudy"/>
    <s v="Partly cloudy throughout the day with storms possible."/>
  </r>
  <r>
    <x v="8"/>
    <n v="83"/>
    <n v="71.7"/>
    <n v="76.2"/>
    <n v="80.8"/>
    <n v="0.29199999999999998"/>
    <n v="6.7"/>
    <n v="7"/>
    <s v="06:11:16"/>
    <s v="18:04:03"/>
    <s v="Rain, Overcast"/>
    <s v="Cloudy skies throughout the day with a chance of rain."/>
  </r>
  <r>
    <x v="9"/>
    <n v="83.4"/>
    <n v="71.900000000000006"/>
    <n v="76.5"/>
    <n v="82.1"/>
    <n v="0.96"/>
    <n v="4"/>
    <n v="6"/>
    <s v="06:11:21"/>
    <s v="18:03:33"/>
    <s v="Rain, Overcast"/>
    <s v="Cloudy skies throughout the day with storms possible."/>
  </r>
  <r>
    <x v="10"/>
    <n v="85"/>
    <n v="72.400000000000006"/>
    <n v="77.599999999999994"/>
    <n v="80.2"/>
    <n v="0.57399999999999995"/>
    <n v="7.6"/>
    <n v="8"/>
    <s v="06:11:26"/>
    <s v="18:03:04"/>
    <s v="Rain, Partially cloudy"/>
    <s v="Partly cloudy throughout the day with storms possible."/>
  </r>
  <r>
    <x v="11"/>
    <n v="83.6"/>
    <n v="73.7"/>
    <n v="77.3"/>
    <n v="80.900000000000006"/>
    <n v="0.67700000000000005"/>
    <n v="7.4"/>
    <n v="8"/>
    <s v="06:11:32"/>
    <s v="18:02:35"/>
    <s v="Rain, Partially cloudy"/>
    <s v="Partly cloudy throughout the day with storms possible."/>
  </r>
  <r>
    <x v="12"/>
    <n v="83.4"/>
    <n v="72.400000000000006"/>
    <n v="76.8"/>
    <n v="83.1"/>
    <n v="0.878"/>
    <n v="8.5"/>
    <n v="8"/>
    <s v="06:11:39"/>
    <s v="18:02:07"/>
    <s v="Rain, Partially cloudy"/>
    <s v="Partly cloudy throughout the day with storms possible."/>
  </r>
  <r>
    <x v="13"/>
    <n v="83.9"/>
    <n v="71.900000000000006"/>
    <n v="77"/>
    <n v="81.400000000000006"/>
    <n v="0.77600000000000002"/>
    <n v="6.9"/>
    <n v="8"/>
    <s v="06:11:46"/>
    <s v="18:01:40"/>
    <s v="Rain, Partially cloudy"/>
    <s v="Partly cloudy throughout the day with storms possible."/>
  </r>
  <r>
    <x v="14"/>
    <n v="84.3"/>
    <n v="72.900000000000006"/>
    <n v="77.099999999999994"/>
    <n v="80.900000000000006"/>
    <n v="0.79500000000000004"/>
    <n v="7.4"/>
    <n v="7"/>
    <s v="06:11:53"/>
    <s v="18:01:14"/>
    <s v="Rain, Partially cloudy"/>
    <s v="Partly cloudy throughout the day with storms possibl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0411E3-7DB3-471C-A49D-A487E2FECC99}" name="Wind_Humidity_Table" cacheId="4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4" rowHeaderCaption="Date">
  <location ref="E3:G18" firstHeaderRow="0" firstDataRow="1" firstDataCol="1"/>
  <pivotFields count="14">
    <pivotField axis="axisRow" numFmtId="14" showAll="0">
      <items count="90">
        <item m="1" x="88"/>
        <item m="1" x="87"/>
        <item m="1" x="86"/>
        <item m="1" x="85"/>
        <item m="1" x="84"/>
        <item m="1" x="83"/>
        <item m="1" x="82"/>
        <item m="1" x="81"/>
        <item m="1" x="79"/>
        <item m="1" x="80"/>
        <item m="1" x="74"/>
        <item m="1" x="75"/>
        <item m="1" x="76"/>
        <item m="1" x="77"/>
        <item m="1" x="78"/>
        <item m="1" x="72"/>
        <item m="1" x="73"/>
        <item m="1" x="67"/>
        <item m="1" x="68"/>
        <item m="1" x="69"/>
        <item m="1" x="70"/>
        <item m="1" x="71"/>
        <item m="1" x="66"/>
        <item m="1" x="65"/>
        <item m="1" x="50"/>
        <item m="1" x="51"/>
        <item m="1" x="52"/>
        <item m="1" x="53"/>
        <item m="1" x="54"/>
        <item m="1" x="55"/>
        <item m="1" x="56"/>
        <item m="1" x="57"/>
        <item m="1" x="58"/>
        <item m="1" x="59"/>
        <item m="1" x="60"/>
        <item m="1" x="61"/>
        <item m="1" x="62"/>
        <item m="1" x="63"/>
        <item m="1" x="64"/>
        <item m="1" x="44"/>
        <item m="1" x="45"/>
        <item m="1" x="46"/>
        <item m="1" x="47"/>
        <item m="1" x="48"/>
        <item m="1" x="49"/>
        <item m="1" x="37"/>
        <item m="1" x="38"/>
        <item m="1" x="39"/>
        <item m="1" x="40"/>
        <item m="1" x="41"/>
        <item m="1" x="42"/>
        <item m="1" x="43"/>
        <item m="1" x="28"/>
        <item m="1" x="29"/>
        <item m="1" x="30"/>
        <item m="1" x="31"/>
        <item m="1" x="32"/>
        <item m="1" x="33"/>
        <item m="1" x="34"/>
        <item m="1" x="35"/>
        <item m="1" x="36"/>
        <item m="1" x="23"/>
        <item m="1" x="24"/>
        <item m="1" x="25"/>
        <item m="1" x="26"/>
        <item m="1" x="27"/>
        <item m="1" x="19"/>
        <item m="1" x="20"/>
        <item m="1" x="21"/>
        <item m="1" x="22"/>
        <item m="1" x="15"/>
        <item m="1" x="16"/>
        <item m="1" x="17"/>
        <item m="1" x="18"/>
        <item x="0"/>
        <item x="1"/>
        <item x="2"/>
        <item x="3"/>
        <item x="4"/>
        <item x="5"/>
        <item x="6"/>
        <item x="7"/>
        <item x="8"/>
        <item x="9"/>
        <item x="10"/>
        <item x="11"/>
        <item x="12"/>
        <item x="13"/>
        <item x="14"/>
        <item t="default"/>
      </items>
    </pivotField>
    <pivotField showAll="0"/>
    <pivotField showAll="0"/>
    <pivotField showAll="0"/>
    <pivotField dataField="1" showAll="0"/>
    <pivotField showAll="0"/>
    <pivotField dataField="1" showAll="0"/>
    <pivotField showAll="0"/>
    <pivotField numFmtId="164" showAll="0"/>
    <pivotField numFmtId="164" showAll="0"/>
    <pivotField showAll="0"/>
    <pivotField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x="7"/>
        <item x="8"/>
        <item sd="0" x="9"/>
        <item sd="0" x="10"/>
        <item sd="0" x="11"/>
        <item sd="0" x="12"/>
        <item sd="0" x="13"/>
        <item t="default"/>
      </items>
    </pivotField>
  </pivotFields>
  <rowFields count="1">
    <field x="0"/>
  </rowFields>
  <rowItems count="15">
    <i>
      <x v="74"/>
    </i>
    <i>
      <x v="75"/>
    </i>
    <i>
      <x v="76"/>
    </i>
    <i>
      <x v="77"/>
    </i>
    <i>
      <x v="78"/>
    </i>
    <i>
      <x v="79"/>
    </i>
    <i>
      <x v="80"/>
    </i>
    <i>
      <x v="81"/>
    </i>
    <i>
      <x v="82"/>
    </i>
    <i>
      <x v="83"/>
    </i>
    <i>
      <x v="84"/>
    </i>
    <i>
      <x v="85"/>
    </i>
    <i>
      <x v="86"/>
    </i>
    <i>
      <x v="87"/>
    </i>
    <i>
      <x v="88"/>
    </i>
  </rowItems>
  <colFields count="1">
    <field x="-2"/>
  </colFields>
  <colItems count="2">
    <i>
      <x/>
    </i>
    <i i="1">
      <x v="1"/>
    </i>
  </colItems>
  <dataFields count="2">
    <dataField name="Wind_Speed" fld="6" baseField="0" baseItem="0"/>
    <dataField name="Humidity_" fld="4" baseField="0" baseItem="0"/>
  </dataFields>
  <chartFormats count="68">
    <chartFormat chart="14" format="8" series="1">
      <pivotArea type="data" outline="0" fieldPosition="0">
        <references count="1">
          <reference field="4294967294" count="1" selected="0">
            <x v="0"/>
          </reference>
        </references>
      </pivotArea>
    </chartFormat>
    <chartFormat chart="14" format="9" series="1">
      <pivotArea type="data" outline="0" fieldPosition="0">
        <references count="1">
          <reference field="4294967294" count="1" selected="0">
            <x v="1"/>
          </reference>
        </references>
      </pivotArea>
    </chartFormat>
    <chartFormat chart="14" format="10">
      <pivotArea type="data" outline="0" fieldPosition="0">
        <references count="2">
          <reference field="4294967294" count="1" selected="0">
            <x v="1"/>
          </reference>
          <reference field="0" count="1" selected="0">
            <x v="13"/>
          </reference>
        </references>
      </pivotArea>
    </chartFormat>
    <chartFormat chart="14" format="11">
      <pivotArea type="data" outline="0" fieldPosition="0">
        <references count="2">
          <reference field="4294967294" count="1" selected="0">
            <x v="1"/>
          </reference>
          <reference field="0" count="1" selected="0">
            <x v="14"/>
          </reference>
        </references>
      </pivotArea>
    </chartFormat>
    <chartFormat chart="14" format="12">
      <pivotArea type="data" outline="0" fieldPosition="0">
        <references count="2">
          <reference field="4294967294" count="1" selected="0">
            <x v="1"/>
          </reference>
          <reference field="0" count="1" selected="0">
            <x v="15"/>
          </reference>
        </references>
      </pivotArea>
    </chartFormat>
    <chartFormat chart="14" format="13">
      <pivotArea type="data" outline="0" fieldPosition="0">
        <references count="2">
          <reference field="4294967294" count="1" selected="0">
            <x v="1"/>
          </reference>
          <reference field="0" count="1" selected="0">
            <x v="16"/>
          </reference>
        </references>
      </pivotArea>
    </chartFormat>
    <chartFormat chart="14" format="14">
      <pivotArea type="data" outline="0" fieldPosition="0">
        <references count="2">
          <reference field="4294967294" count="1" selected="0">
            <x v="1"/>
          </reference>
          <reference field="0" count="1" selected="0">
            <x v="17"/>
          </reference>
        </references>
      </pivotArea>
    </chartFormat>
    <chartFormat chart="14" format="15">
      <pivotArea type="data" outline="0" fieldPosition="0">
        <references count="2">
          <reference field="4294967294" count="1" selected="0">
            <x v="1"/>
          </reference>
          <reference field="0" count="1" selected="0">
            <x v="18"/>
          </reference>
        </references>
      </pivotArea>
    </chartFormat>
    <chartFormat chart="14" format="16">
      <pivotArea type="data" outline="0" fieldPosition="0">
        <references count="2">
          <reference field="4294967294" count="1" selected="0">
            <x v="1"/>
          </reference>
          <reference field="0" count="1" selected="0">
            <x v="19"/>
          </reference>
        </references>
      </pivotArea>
    </chartFormat>
    <chartFormat chart="14" format="17">
      <pivotArea type="data" outline="0" fieldPosition="0">
        <references count="2">
          <reference field="4294967294" count="1" selected="0">
            <x v="1"/>
          </reference>
          <reference field="0" count="1" selected="0">
            <x v="20"/>
          </reference>
        </references>
      </pivotArea>
    </chartFormat>
    <chartFormat chart="14" format="18">
      <pivotArea type="data" outline="0" fieldPosition="0">
        <references count="2">
          <reference field="4294967294" count="1" selected="0">
            <x v="1"/>
          </reference>
          <reference field="0" count="1" selected="0">
            <x v="21"/>
          </reference>
        </references>
      </pivotArea>
    </chartFormat>
    <chartFormat chart="14" format="19">
      <pivotArea type="data" outline="0" fieldPosition="0">
        <references count="2">
          <reference field="4294967294" count="1" selected="0">
            <x v="1"/>
          </reference>
          <reference field="0" count="1" selected="0">
            <x v="22"/>
          </reference>
        </references>
      </pivotArea>
    </chartFormat>
    <chartFormat chart="14" format="20">
      <pivotArea type="data" outline="0" fieldPosition="0">
        <references count="2">
          <reference field="4294967294" count="1" selected="0">
            <x v="1"/>
          </reference>
          <reference field="0" count="1" selected="0">
            <x v="23"/>
          </reference>
        </references>
      </pivotArea>
    </chartFormat>
    <chartFormat chart="14" format="21">
      <pivotArea type="data" outline="0" fieldPosition="0">
        <references count="2">
          <reference field="4294967294" count="1" selected="0">
            <x v="1"/>
          </reference>
          <reference field="0" count="1" selected="0">
            <x v="24"/>
          </reference>
        </references>
      </pivotArea>
    </chartFormat>
    <chartFormat chart="14" format="22">
      <pivotArea type="data" outline="0" fieldPosition="0">
        <references count="2">
          <reference field="4294967294" count="1" selected="0">
            <x v="1"/>
          </reference>
          <reference field="0" count="1" selected="0">
            <x v="25"/>
          </reference>
        </references>
      </pivotArea>
    </chartFormat>
    <chartFormat chart="14" format="23">
      <pivotArea type="data" outline="0" fieldPosition="0">
        <references count="2">
          <reference field="4294967294" count="1" selected="0">
            <x v="1"/>
          </reference>
          <reference field="0" count="1" selected="0">
            <x v="26"/>
          </reference>
        </references>
      </pivotArea>
    </chartFormat>
    <chartFormat chart="14" format="24">
      <pivotArea type="data" outline="0" fieldPosition="0">
        <references count="2">
          <reference field="4294967294" count="1" selected="0">
            <x v="1"/>
          </reference>
          <reference field="0" count="1" selected="0">
            <x v="27"/>
          </reference>
        </references>
      </pivotArea>
    </chartFormat>
    <chartFormat chart="14" format="25">
      <pivotArea type="data" outline="0" fieldPosition="0">
        <references count="2">
          <reference field="4294967294" count="1" selected="0">
            <x v="1"/>
          </reference>
          <reference field="0" count="1" selected="0">
            <x v="28"/>
          </reference>
        </references>
      </pivotArea>
    </chartFormat>
    <chartFormat chart="14" format="26">
      <pivotArea type="data" outline="0" fieldPosition="0">
        <references count="2">
          <reference field="4294967294" count="1" selected="0">
            <x v="1"/>
          </reference>
          <reference field="0" count="1" selected="0">
            <x v="29"/>
          </reference>
        </references>
      </pivotArea>
    </chartFormat>
    <chartFormat chart="14" format="27">
      <pivotArea type="data" outline="0" fieldPosition="0">
        <references count="2">
          <reference field="4294967294" count="1" selected="0">
            <x v="1"/>
          </reference>
          <reference field="0" count="1" selected="0">
            <x v="30"/>
          </reference>
        </references>
      </pivotArea>
    </chartFormat>
    <chartFormat chart="14" format="28">
      <pivotArea type="data" outline="0" fieldPosition="0">
        <references count="2">
          <reference field="4294967294" count="1" selected="0">
            <x v="1"/>
          </reference>
          <reference field="0" count="1" selected="0">
            <x v="31"/>
          </reference>
        </references>
      </pivotArea>
    </chartFormat>
    <chartFormat chart="14" format="29">
      <pivotArea type="data" outline="0" fieldPosition="0">
        <references count="2">
          <reference field="4294967294" count="1" selected="0">
            <x v="1"/>
          </reference>
          <reference field="0" count="1" selected="0">
            <x v="32"/>
          </reference>
        </references>
      </pivotArea>
    </chartFormat>
    <chartFormat chart="14" format="30">
      <pivotArea type="data" outline="0" fieldPosition="0">
        <references count="2">
          <reference field="4294967294" count="1" selected="0">
            <x v="1"/>
          </reference>
          <reference field="0" count="1" selected="0">
            <x v="33"/>
          </reference>
        </references>
      </pivotArea>
    </chartFormat>
    <chartFormat chart="14" format="31">
      <pivotArea type="data" outline="0" fieldPosition="0">
        <references count="2">
          <reference field="4294967294" count="1" selected="0">
            <x v="1"/>
          </reference>
          <reference field="0" count="1" selected="0">
            <x v="34"/>
          </reference>
        </references>
      </pivotArea>
    </chartFormat>
    <chartFormat chart="14" format="32">
      <pivotArea type="data" outline="0" fieldPosition="0">
        <references count="2">
          <reference field="4294967294" count="1" selected="0">
            <x v="1"/>
          </reference>
          <reference field="0" count="1" selected="0">
            <x v="35"/>
          </reference>
        </references>
      </pivotArea>
    </chartFormat>
    <chartFormat chart="14" format="33">
      <pivotArea type="data" outline="0" fieldPosition="0">
        <references count="2">
          <reference field="4294967294" count="1" selected="0">
            <x v="1"/>
          </reference>
          <reference field="0" count="1" selected="0">
            <x v="39"/>
          </reference>
        </references>
      </pivotArea>
    </chartFormat>
    <chartFormat chart="14" format="34">
      <pivotArea type="data" outline="0" fieldPosition="0">
        <references count="2">
          <reference field="4294967294" count="1" selected="0">
            <x v="1"/>
          </reference>
          <reference field="0" count="1" selected="0">
            <x v="40"/>
          </reference>
        </references>
      </pivotArea>
    </chartFormat>
    <chartFormat chart="14" format="35">
      <pivotArea type="data" outline="0" fieldPosition="0">
        <references count="2">
          <reference field="4294967294" count="1" selected="0">
            <x v="1"/>
          </reference>
          <reference field="0" count="1" selected="0">
            <x v="41"/>
          </reference>
        </references>
      </pivotArea>
    </chartFormat>
    <chartFormat chart="14" format="36">
      <pivotArea type="data" outline="0" fieldPosition="0">
        <references count="2">
          <reference field="4294967294" count="1" selected="0">
            <x v="1"/>
          </reference>
          <reference field="0" count="1" selected="0">
            <x v="42"/>
          </reference>
        </references>
      </pivotArea>
    </chartFormat>
    <chartFormat chart="14" format="37">
      <pivotArea type="data" outline="0" fieldPosition="0">
        <references count="2">
          <reference field="4294967294" count="1" selected="0">
            <x v="1"/>
          </reference>
          <reference field="0" count="1" selected="0">
            <x v="43"/>
          </reference>
        </references>
      </pivotArea>
    </chartFormat>
    <chartFormat chart="14" format="38">
      <pivotArea type="data" outline="0" fieldPosition="0">
        <references count="2">
          <reference field="4294967294" count="1" selected="0">
            <x v="1"/>
          </reference>
          <reference field="0" count="1" selected="0">
            <x v="44"/>
          </reference>
        </references>
      </pivotArea>
    </chartFormat>
    <chartFormat chart="14" format="39">
      <pivotArea type="data" outline="0" fieldPosition="0">
        <references count="2">
          <reference field="4294967294" count="1" selected="0">
            <x v="1"/>
          </reference>
          <reference field="0" count="1" selected="0">
            <x v="45"/>
          </reference>
        </references>
      </pivotArea>
    </chartFormat>
    <chartFormat chart="14" format="40">
      <pivotArea type="data" outline="0" fieldPosition="0">
        <references count="2">
          <reference field="4294967294" count="1" selected="0">
            <x v="1"/>
          </reference>
          <reference field="0" count="1" selected="0">
            <x v="46"/>
          </reference>
        </references>
      </pivotArea>
    </chartFormat>
    <chartFormat chart="14" format="41">
      <pivotArea type="data" outline="0" fieldPosition="0">
        <references count="2">
          <reference field="4294967294" count="1" selected="0">
            <x v="1"/>
          </reference>
          <reference field="0" count="1" selected="0">
            <x v="47"/>
          </reference>
        </references>
      </pivotArea>
    </chartFormat>
    <chartFormat chart="14" format="42">
      <pivotArea type="data" outline="0" fieldPosition="0">
        <references count="2">
          <reference field="4294967294" count="1" selected="0">
            <x v="1"/>
          </reference>
          <reference field="0" count="1" selected="0">
            <x v="48"/>
          </reference>
        </references>
      </pivotArea>
    </chartFormat>
    <chartFormat chart="14" format="43">
      <pivotArea type="data" outline="0" fieldPosition="0">
        <references count="2">
          <reference field="4294967294" count="1" selected="0">
            <x v="1"/>
          </reference>
          <reference field="0" count="1" selected="0">
            <x v="49"/>
          </reference>
        </references>
      </pivotArea>
    </chartFormat>
    <chartFormat chart="14" format="44">
      <pivotArea type="data" outline="0" fieldPosition="0">
        <references count="2">
          <reference field="4294967294" count="1" selected="0">
            <x v="1"/>
          </reference>
          <reference field="0" count="1" selected="0">
            <x v="50"/>
          </reference>
        </references>
      </pivotArea>
    </chartFormat>
    <chartFormat chart="14" format="45">
      <pivotArea type="data" outline="0" fieldPosition="0">
        <references count="2">
          <reference field="4294967294" count="1" selected="0">
            <x v="1"/>
          </reference>
          <reference field="0" count="1" selected="0">
            <x v="51"/>
          </reference>
        </references>
      </pivotArea>
    </chartFormat>
    <chartFormat chart="14" format="46">
      <pivotArea type="data" outline="0" fieldPosition="0">
        <references count="2">
          <reference field="4294967294" count="1" selected="0">
            <x v="1"/>
          </reference>
          <reference field="0" count="1" selected="0">
            <x v="52"/>
          </reference>
        </references>
      </pivotArea>
    </chartFormat>
    <chartFormat chart="14" format="47">
      <pivotArea type="data" outline="0" fieldPosition="0">
        <references count="2">
          <reference field="4294967294" count="1" selected="0">
            <x v="1"/>
          </reference>
          <reference field="0" count="1" selected="0">
            <x v="53"/>
          </reference>
        </references>
      </pivotArea>
    </chartFormat>
    <chartFormat chart="14" format="48">
      <pivotArea type="data" outline="0" fieldPosition="0">
        <references count="2">
          <reference field="4294967294" count="1" selected="0">
            <x v="1"/>
          </reference>
          <reference field="0" count="1" selected="0">
            <x v="54"/>
          </reference>
        </references>
      </pivotArea>
    </chartFormat>
    <chartFormat chart="14" format="49">
      <pivotArea type="data" outline="0" fieldPosition="0">
        <references count="2">
          <reference field="4294967294" count="1" selected="0">
            <x v="1"/>
          </reference>
          <reference field="0" count="1" selected="0">
            <x v="55"/>
          </reference>
        </references>
      </pivotArea>
    </chartFormat>
    <chartFormat chart="14" format="50">
      <pivotArea type="data" outline="0" fieldPosition="0">
        <references count="2">
          <reference field="4294967294" count="1" selected="0">
            <x v="1"/>
          </reference>
          <reference field="0" count="1" selected="0">
            <x v="56"/>
          </reference>
        </references>
      </pivotArea>
    </chartFormat>
    <chartFormat chart="14" format="51">
      <pivotArea type="data" outline="0" fieldPosition="0">
        <references count="2">
          <reference field="4294967294" count="1" selected="0">
            <x v="1"/>
          </reference>
          <reference field="0" count="1" selected="0">
            <x v="57"/>
          </reference>
        </references>
      </pivotArea>
    </chartFormat>
    <chartFormat chart="14" format="52">
      <pivotArea type="data" outline="0" fieldPosition="0">
        <references count="2">
          <reference field="4294967294" count="1" selected="0">
            <x v="1"/>
          </reference>
          <reference field="0" count="1" selected="0">
            <x v="58"/>
          </reference>
        </references>
      </pivotArea>
    </chartFormat>
    <chartFormat chart="14" format="53">
      <pivotArea type="data" outline="0" fieldPosition="0">
        <references count="2">
          <reference field="4294967294" count="1" selected="0">
            <x v="1"/>
          </reference>
          <reference field="0" count="1" selected="0">
            <x v="59"/>
          </reference>
        </references>
      </pivotArea>
    </chartFormat>
    <chartFormat chart="14" format="54">
      <pivotArea type="data" outline="0" fieldPosition="0">
        <references count="2">
          <reference field="4294967294" count="1" selected="0">
            <x v="1"/>
          </reference>
          <reference field="0" count="1" selected="0">
            <x v="60"/>
          </reference>
        </references>
      </pivotArea>
    </chartFormat>
    <chartFormat chart="14" format="55">
      <pivotArea type="data" outline="0" fieldPosition="0">
        <references count="2">
          <reference field="4294967294" count="1" selected="0">
            <x v="1"/>
          </reference>
          <reference field="0" count="1" selected="0">
            <x v="61"/>
          </reference>
        </references>
      </pivotArea>
    </chartFormat>
    <chartFormat chart="14" format="56">
      <pivotArea type="data" outline="0" fieldPosition="0">
        <references count="2">
          <reference field="4294967294" count="1" selected="0">
            <x v="1"/>
          </reference>
          <reference field="0" count="1" selected="0">
            <x v="62"/>
          </reference>
        </references>
      </pivotArea>
    </chartFormat>
    <chartFormat chart="14" format="57">
      <pivotArea type="data" outline="0" fieldPosition="0">
        <references count="2">
          <reference field="4294967294" count="1" selected="0">
            <x v="1"/>
          </reference>
          <reference field="0" count="1" selected="0">
            <x v="63"/>
          </reference>
        </references>
      </pivotArea>
    </chartFormat>
    <chartFormat chart="14" format="58">
      <pivotArea type="data" outline="0" fieldPosition="0">
        <references count="2">
          <reference field="4294967294" count="1" selected="0">
            <x v="1"/>
          </reference>
          <reference field="0" count="1" selected="0">
            <x v="64"/>
          </reference>
        </references>
      </pivotArea>
    </chartFormat>
    <chartFormat chart="14" format="59">
      <pivotArea type="data" outline="0" fieldPosition="0">
        <references count="2">
          <reference field="4294967294" count="1" selected="0">
            <x v="1"/>
          </reference>
          <reference field="0" count="1" selected="0">
            <x v="65"/>
          </reference>
        </references>
      </pivotArea>
    </chartFormat>
    <chartFormat chart="14" format="60">
      <pivotArea type="data" outline="0" fieldPosition="0">
        <references count="2">
          <reference field="4294967294" count="1" selected="0">
            <x v="1"/>
          </reference>
          <reference field="0" count="1" selected="0">
            <x v="66"/>
          </reference>
        </references>
      </pivotArea>
    </chartFormat>
    <chartFormat chart="14" format="61">
      <pivotArea type="data" outline="0" fieldPosition="0">
        <references count="2">
          <reference field="4294967294" count="1" selected="0">
            <x v="1"/>
          </reference>
          <reference field="0" count="1" selected="0">
            <x v="67"/>
          </reference>
        </references>
      </pivotArea>
    </chartFormat>
    <chartFormat chart="14" format="62">
      <pivotArea type="data" outline="0" fieldPosition="0">
        <references count="2">
          <reference field="4294967294" count="1" selected="0">
            <x v="1"/>
          </reference>
          <reference field="0" count="1" selected="0">
            <x v="68"/>
          </reference>
        </references>
      </pivotArea>
    </chartFormat>
    <chartFormat chart="14" format="63">
      <pivotArea type="data" outline="0" fieldPosition="0">
        <references count="2">
          <reference field="4294967294" count="1" selected="0">
            <x v="1"/>
          </reference>
          <reference field="0" count="1" selected="0">
            <x v="69"/>
          </reference>
        </references>
      </pivotArea>
    </chartFormat>
    <chartFormat chart="14" format="64">
      <pivotArea type="data" outline="0" fieldPosition="0">
        <references count="2">
          <reference field="4294967294" count="1" selected="0">
            <x v="1"/>
          </reference>
          <reference field="0" count="1" selected="0">
            <x v="70"/>
          </reference>
        </references>
      </pivotArea>
    </chartFormat>
    <chartFormat chart="14" format="65">
      <pivotArea type="data" outline="0" fieldPosition="0">
        <references count="2">
          <reference field="4294967294" count="1" selected="0">
            <x v="1"/>
          </reference>
          <reference field="0" count="1" selected="0">
            <x v="71"/>
          </reference>
        </references>
      </pivotArea>
    </chartFormat>
    <chartFormat chart="14" format="66">
      <pivotArea type="data" outline="0" fieldPosition="0">
        <references count="2">
          <reference field="4294967294" count="1" selected="0">
            <x v="1"/>
          </reference>
          <reference field="0" count="1" selected="0">
            <x v="72"/>
          </reference>
        </references>
      </pivotArea>
    </chartFormat>
    <chartFormat chart="14" format="67">
      <pivotArea type="data" outline="0" fieldPosition="0">
        <references count="2">
          <reference field="4294967294" count="1" selected="0">
            <x v="1"/>
          </reference>
          <reference field="0" count="1" selected="0">
            <x v="73"/>
          </reference>
        </references>
      </pivotArea>
    </chartFormat>
    <chartFormat chart="14" format="68">
      <pivotArea type="data" outline="0" fieldPosition="0">
        <references count="2">
          <reference field="4294967294" count="1" selected="0">
            <x v="1"/>
          </reference>
          <reference field="0" count="1" selected="0">
            <x v="74"/>
          </reference>
        </references>
      </pivotArea>
    </chartFormat>
    <chartFormat chart="14" format="69">
      <pivotArea type="data" outline="0" fieldPosition="0">
        <references count="2">
          <reference field="4294967294" count="1" selected="0">
            <x v="1"/>
          </reference>
          <reference field="0" count="1" selected="0">
            <x v="75"/>
          </reference>
        </references>
      </pivotArea>
    </chartFormat>
    <chartFormat chart="14" format="70">
      <pivotArea type="data" outline="0" fieldPosition="0">
        <references count="2">
          <reference field="4294967294" count="1" selected="0">
            <x v="1"/>
          </reference>
          <reference field="0" count="1" selected="0">
            <x v="76"/>
          </reference>
        </references>
      </pivotArea>
    </chartFormat>
    <chartFormat chart="14" format="71">
      <pivotArea type="data" outline="0" fieldPosition="0">
        <references count="2">
          <reference field="4294967294" count="1" selected="0">
            <x v="1"/>
          </reference>
          <reference field="0" count="1" selected="0">
            <x v="77"/>
          </reference>
        </references>
      </pivotArea>
    </chartFormat>
    <chartFormat chart="14" format="72">
      <pivotArea type="data" outline="0" fieldPosition="0">
        <references count="2">
          <reference field="4294967294" count="1" selected="0">
            <x v="1"/>
          </reference>
          <reference field="0" count="1" selected="0">
            <x v="78"/>
          </reference>
        </references>
      </pivotArea>
    </chartFormat>
    <chartFormat chart="14" format="73">
      <pivotArea type="data" outline="0" fieldPosition="0">
        <references count="2">
          <reference field="4294967294" count="1" selected="0">
            <x v="1"/>
          </reference>
          <reference field="0" count="1" selected="0">
            <x v="79"/>
          </reference>
        </references>
      </pivotArea>
    </chartFormat>
    <chartFormat chart="14" format="74">
      <pivotArea type="data" outline="0" fieldPosition="0">
        <references count="2">
          <reference field="4294967294" count="1" selected="0">
            <x v="1"/>
          </reference>
          <reference field="0" count="1" selected="0">
            <x v="80"/>
          </reference>
        </references>
      </pivotArea>
    </chartFormat>
    <chartFormat chart="14" format="75">
      <pivotArea type="data" outline="0" fieldPosition="0">
        <references count="2">
          <reference field="4294967294" count="1" selected="0">
            <x v="1"/>
          </reference>
          <reference field="0" count="1" selected="0">
            <x v="8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9DDA29C-BB0B-4CD5-B72D-AD6E204A2343}" name="Climate_Description_Table" cacheId="38"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Date-Climate Description">
  <location ref="K3:K33" firstHeaderRow="1" firstDataRow="1" firstDataCol="1"/>
  <pivotFields count="5">
    <pivotField axis="axisRow" numFmtId="14" showAll="0">
      <items count="89">
        <item m="1" x="87"/>
        <item m="1" x="86"/>
        <item m="1" x="85"/>
        <item m="1" x="84"/>
        <item m="1" x="83"/>
        <item m="1" x="82"/>
        <item m="1" x="81"/>
        <item m="1" x="79"/>
        <item m="1" x="80"/>
        <item m="1" x="74"/>
        <item m="1" x="75"/>
        <item m="1" x="76"/>
        <item m="1" x="77"/>
        <item m="1" x="78"/>
        <item m="1" x="72"/>
        <item m="1" x="73"/>
        <item m="1" x="67"/>
        <item m="1" x="68"/>
        <item m="1" x="69"/>
        <item m="1" x="70"/>
        <item m="1" x="71"/>
        <item m="1" x="66"/>
        <item m="1" x="65"/>
        <item m="1" x="50"/>
        <item m="1" x="51"/>
        <item m="1" x="52"/>
        <item m="1" x="53"/>
        <item m="1" x="54"/>
        <item m="1" x="55"/>
        <item m="1" x="56"/>
        <item m="1" x="57"/>
        <item m="1" x="58"/>
        <item m="1" x="59"/>
        <item m="1" x="60"/>
        <item m="1" x="61"/>
        <item m="1" x="62"/>
        <item m="1" x="63"/>
        <item m="1" x="64"/>
        <item m="1" x="44"/>
        <item m="1" x="45"/>
        <item m="1" x="46"/>
        <item m="1" x="47"/>
        <item m="1" x="48"/>
        <item m="1" x="49"/>
        <item m="1" x="37"/>
        <item m="1" x="38"/>
        <item m="1" x="39"/>
        <item m="1" x="40"/>
        <item m="1" x="41"/>
        <item m="1" x="42"/>
        <item m="1" x="43"/>
        <item m="1" x="28"/>
        <item m="1" x="29"/>
        <item m="1" x="30"/>
        <item m="1" x="31"/>
        <item m="1" x="32"/>
        <item m="1" x="33"/>
        <item m="1" x="34"/>
        <item m="1" x="35"/>
        <item m="1" x="36"/>
        <item m="1" x="19"/>
        <item m="1" x="20"/>
        <item m="1" x="21"/>
        <item m="1" x="22"/>
        <item m="1" x="23"/>
        <item m="1" x="24"/>
        <item m="1" x="25"/>
        <item m="1" x="26"/>
        <item m="1" x="27"/>
        <item m="1" x="15"/>
        <item m="1" x="16"/>
        <item m="1" x="17"/>
        <item m="1" x="18"/>
        <item x="0"/>
        <item x="1"/>
        <item x="2"/>
        <item x="3"/>
        <item x="4"/>
        <item x="5"/>
        <item x="6"/>
        <item x="7"/>
        <item x="8"/>
        <item x="9"/>
        <item x="10"/>
        <item x="11"/>
        <item x="12"/>
        <item x="13"/>
        <item x="14"/>
        <item t="default"/>
      </items>
    </pivotField>
    <pivotField showAll="0"/>
    <pivotField axis="axisRow" showAll="0">
      <items count="23">
        <item m="1" x="4"/>
        <item x="3"/>
        <item m="1" x="13"/>
        <item m="1" x="16"/>
        <item x="2"/>
        <item m="1" x="9"/>
        <item m="1" x="5"/>
        <item m="1" x="19"/>
        <item m="1" x="7"/>
        <item m="1" x="21"/>
        <item m="1" x="17"/>
        <item x="1"/>
        <item m="1" x="8"/>
        <item m="1" x="12"/>
        <item m="1" x="20"/>
        <item m="1" x="14"/>
        <item m="1" x="11"/>
        <item m="1" x="18"/>
        <item m="1" x="15"/>
        <item m="1" x="10"/>
        <item x="0"/>
        <item m="1" x="6"/>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2">
    <field x="0"/>
    <field x="2"/>
  </rowFields>
  <rowItems count="30">
    <i>
      <x v="73"/>
    </i>
    <i r="1">
      <x v="20"/>
    </i>
    <i>
      <x v="74"/>
    </i>
    <i r="1">
      <x v="11"/>
    </i>
    <i>
      <x v="75"/>
    </i>
    <i r="1">
      <x v="4"/>
    </i>
    <i>
      <x v="76"/>
    </i>
    <i r="1">
      <x v="11"/>
    </i>
    <i>
      <x v="77"/>
    </i>
    <i r="1">
      <x v="4"/>
    </i>
    <i>
      <x v="78"/>
    </i>
    <i r="1">
      <x v="11"/>
    </i>
    <i>
      <x v="79"/>
    </i>
    <i r="1">
      <x v="11"/>
    </i>
    <i>
      <x v="80"/>
    </i>
    <i r="1">
      <x v="11"/>
    </i>
    <i>
      <x v="81"/>
    </i>
    <i r="1">
      <x v="1"/>
    </i>
    <i>
      <x v="82"/>
    </i>
    <i r="1">
      <x v="4"/>
    </i>
    <i>
      <x v="83"/>
    </i>
    <i r="1">
      <x v="11"/>
    </i>
    <i>
      <x v="84"/>
    </i>
    <i r="1">
      <x v="11"/>
    </i>
    <i>
      <x v="85"/>
    </i>
    <i r="1">
      <x v="11"/>
    </i>
    <i>
      <x v="86"/>
    </i>
    <i r="1">
      <x v="11"/>
    </i>
    <i>
      <x v="87"/>
    </i>
    <i r="1">
      <x v="1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FD3292C-9C9E-46F8-AA22-815F17F187AB}" name="Min_Max_Temp" cacheId="4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7" rowHeaderCaption="Date">
  <location ref="A3:C18" firstHeaderRow="0" firstDataRow="1" firstDataCol="1"/>
  <pivotFields count="14">
    <pivotField axis="axisRow" numFmtId="14" showAll="0">
      <items count="90">
        <item m="1" x="88"/>
        <item m="1" x="87"/>
        <item m="1" x="86"/>
        <item m="1" x="85"/>
        <item m="1" x="84"/>
        <item m="1" x="83"/>
        <item m="1" x="82"/>
        <item m="1" x="81"/>
        <item m="1" x="79"/>
        <item m="1" x="80"/>
        <item m="1" x="74"/>
        <item m="1" x="75"/>
        <item m="1" x="76"/>
        <item m="1" x="77"/>
        <item m="1" x="78"/>
        <item m="1" x="72"/>
        <item m="1" x="73"/>
        <item m="1" x="67"/>
        <item m="1" x="68"/>
        <item m="1" x="69"/>
        <item m="1" x="70"/>
        <item m="1" x="71"/>
        <item m="1" x="66"/>
        <item m="1" x="65"/>
        <item m="1" x="50"/>
        <item m="1" x="51"/>
        <item m="1" x="52"/>
        <item m="1" x="53"/>
        <item m="1" x="54"/>
        <item m="1" x="55"/>
        <item m="1" x="56"/>
        <item m="1" x="57"/>
        <item m="1" x="58"/>
        <item m="1" x="59"/>
        <item m="1" x="60"/>
        <item m="1" x="61"/>
        <item m="1" x="62"/>
        <item m="1" x="63"/>
        <item m="1" x="64"/>
        <item m="1" x="44"/>
        <item m="1" x="45"/>
        <item m="1" x="46"/>
        <item m="1" x="47"/>
        <item m="1" x="48"/>
        <item m="1" x="49"/>
        <item m="1" x="37"/>
        <item m="1" x="38"/>
        <item m="1" x="39"/>
        <item m="1" x="40"/>
        <item m="1" x="41"/>
        <item m="1" x="42"/>
        <item m="1" x="43"/>
        <item m="1" x="28"/>
        <item m="1" x="29"/>
        <item m="1" x="30"/>
        <item m="1" x="31"/>
        <item m="1" x="32"/>
        <item m="1" x="33"/>
        <item m="1" x="34"/>
        <item m="1" x="35"/>
        <item m="1" x="36"/>
        <item m="1" x="23"/>
        <item m="1" x="24"/>
        <item m="1" x="25"/>
        <item m="1" x="26"/>
        <item m="1" x="27"/>
        <item m="1" x="19"/>
        <item m="1" x="20"/>
        <item m="1" x="21"/>
        <item m="1" x="22"/>
        <item m="1" x="15"/>
        <item m="1" x="16"/>
        <item m="1" x="17"/>
        <item m="1" x="18"/>
        <item x="0"/>
        <item x="1"/>
        <item x="2"/>
        <item x="3"/>
        <item x="4"/>
        <item x="5"/>
        <item x="6"/>
        <item x="7"/>
        <item x="8"/>
        <item x="9"/>
        <item x="10"/>
        <item x="11"/>
        <item x="12"/>
        <item x="13"/>
        <item x="14"/>
        <item t="default"/>
      </items>
    </pivotField>
    <pivotField dataField="1" showAll="0"/>
    <pivotField dataField="1" showAll="0"/>
    <pivotField showAll="0"/>
    <pivotField showAll="0"/>
    <pivotField showAll="0"/>
    <pivotField showAll="0"/>
    <pivotField showAll="0"/>
    <pivotField numFmtId="164" showAll="0"/>
    <pivotField numFmtId="164" showAll="0"/>
    <pivotField showAll="0"/>
    <pivotField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15">
    <i>
      <x v="74"/>
    </i>
    <i>
      <x v="75"/>
    </i>
    <i>
      <x v="76"/>
    </i>
    <i>
      <x v="77"/>
    </i>
    <i>
      <x v="78"/>
    </i>
    <i>
      <x v="79"/>
    </i>
    <i>
      <x v="80"/>
    </i>
    <i>
      <x v="81"/>
    </i>
    <i>
      <x v="82"/>
    </i>
    <i>
      <x v="83"/>
    </i>
    <i>
      <x v="84"/>
    </i>
    <i>
      <x v="85"/>
    </i>
    <i>
      <x v="86"/>
    </i>
    <i>
      <x v="87"/>
    </i>
    <i>
      <x v="88"/>
    </i>
  </rowItems>
  <colFields count="1">
    <field x="-2"/>
  </colFields>
  <colItems count="2">
    <i>
      <x/>
    </i>
    <i i="1">
      <x v="1"/>
    </i>
  </colItems>
  <dataFields count="2">
    <dataField name="Max_Temp" fld="1" subtotal="max" baseField="0" baseItem="0"/>
    <dataField name="Min_Temp" fld="2" subtotal="min" baseField="0" baseItem="0"/>
  </dataFields>
  <chartFormats count="18">
    <chartFormat chart="11" format="5" series="1">
      <pivotArea type="data" outline="0" fieldPosition="0">
        <references count="1">
          <reference field="4294967294" count="1" selected="0">
            <x v="0"/>
          </reference>
        </references>
      </pivotArea>
    </chartFormat>
    <chartFormat chart="11" format="6" series="1">
      <pivotArea type="data" outline="0" fieldPosition="0">
        <references count="1">
          <reference field="4294967294" count="1" selected="0">
            <x v="1"/>
          </reference>
        </references>
      </pivotArea>
    </chartFormat>
    <chartFormat chart="11" format="7">
      <pivotArea type="data" outline="0" fieldPosition="0">
        <references count="2">
          <reference field="4294967294" count="1" selected="0">
            <x v="0"/>
          </reference>
          <reference field="0" count="1" selected="0">
            <x v="12"/>
          </reference>
        </references>
      </pivotArea>
    </chartFormat>
    <chartFormat chart="11" format="8">
      <pivotArea type="data" outline="0" fieldPosition="0">
        <references count="2">
          <reference field="4294967294" count="1" selected="0">
            <x v="1"/>
          </reference>
          <reference field="0" count="1" selected="0">
            <x v="8"/>
          </reference>
        </references>
      </pivotArea>
    </chartFormat>
    <chartFormat chart="11" format="9">
      <pivotArea type="data" outline="0" fieldPosition="0">
        <references count="2">
          <reference field="4294967294" count="1" selected="0">
            <x v="1"/>
          </reference>
          <reference field="0" count="1" selected="0">
            <x v="9"/>
          </reference>
        </references>
      </pivotArea>
    </chartFormat>
    <chartFormat chart="11" format="10">
      <pivotArea type="data" outline="0" fieldPosition="0">
        <references count="2">
          <reference field="4294967294" count="1" selected="0">
            <x v="1"/>
          </reference>
          <reference field="0" count="1" selected="0">
            <x v="10"/>
          </reference>
        </references>
      </pivotArea>
    </chartFormat>
    <chartFormat chart="11" format="11">
      <pivotArea type="data" outline="0" fieldPosition="0">
        <references count="2">
          <reference field="4294967294" count="1" selected="0">
            <x v="1"/>
          </reference>
          <reference field="0" count="1" selected="0">
            <x v="11"/>
          </reference>
        </references>
      </pivotArea>
    </chartFormat>
    <chartFormat chart="11" format="12">
      <pivotArea type="data" outline="0" fieldPosition="0">
        <references count="2">
          <reference field="4294967294" count="1" selected="0">
            <x v="1"/>
          </reference>
          <reference field="0" count="1" selected="0">
            <x v="12"/>
          </reference>
        </references>
      </pivotArea>
    </chartFormat>
    <chartFormat chart="11" format="13">
      <pivotArea type="data" outline="0" fieldPosition="0">
        <references count="2">
          <reference field="4294967294" count="1" selected="0">
            <x v="1"/>
          </reference>
          <reference field="0" count="1" selected="0">
            <x v="13"/>
          </reference>
        </references>
      </pivotArea>
    </chartFormat>
    <chartFormat chart="11" format="14">
      <pivotArea type="data" outline="0" fieldPosition="0">
        <references count="2">
          <reference field="4294967294" count="1" selected="0">
            <x v="1"/>
          </reference>
          <reference field="0" count="1" selected="0">
            <x v="14"/>
          </reference>
        </references>
      </pivotArea>
    </chartFormat>
    <chartFormat chart="11" format="15">
      <pivotArea type="data" outline="0" fieldPosition="0">
        <references count="2">
          <reference field="4294967294" count="1" selected="0">
            <x v="1"/>
          </reference>
          <reference field="0" count="1" selected="0">
            <x v="15"/>
          </reference>
        </references>
      </pivotArea>
    </chartFormat>
    <chartFormat chart="11" format="16">
      <pivotArea type="data" outline="0" fieldPosition="0">
        <references count="2">
          <reference field="4294967294" count="1" selected="0">
            <x v="1"/>
          </reference>
          <reference field="0" count="1" selected="0">
            <x v="16"/>
          </reference>
        </references>
      </pivotArea>
    </chartFormat>
    <chartFormat chart="11" format="17">
      <pivotArea type="data" outline="0" fieldPosition="0">
        <references count="2">
          <reference field="4294967294" count="1" selected="0">
            <x v="1"/>
          </reference>
          <reference field="0" count="1" selected="0">
            <x v="17"/>
          </reference>
        </references>
      </pivotArea>
    </chartFormat>
    <chartFormat chart="11" format="18">
      <pivotArea type="data" outline="0" fieldPosition="0">
        <references count="2">
          <reference field="4294967294" count="1" selected="0">
            <x v="1"/>
          </reference>
          <reference field="0" count="1" selected="0">
            <x v="18"/>
          </reference>
        </references>
      </pivotArea>
    </chartFormat>
    <chartFormat chart="11" format="19">
      <pivotArea type="data" outline="0" fieldPosition="0">
        <references count="2">
          <reference field="4294967294" count="1" selected="0">
            <x v="1"/>
          </reference>
          <reference field="0" count="1" selected="0">
            <x v="19"/>
          </reference>
        </references>
      </pivotArea>
    </chartFormat>
    <chartFormat chart="11" format="20">
      <pivotArea type="data" outline="0" fieldPosition="0">
        <references count="2">
          <reference field="4294967294" count="1" selected="0">
            <x v="1"/>
          </reference>
          <reference field="0" count="1" selected="0">
            <x v="20"/>
          </reference>
        </references>
      </pivotArea>
    </chartFormat>
    <chartFormat chart="11" format="21">
      <pivotArea type="data" outline="0" fieldPosition="0">
        <references count="2">
          <reference field="4294967294" count="1" selected="0">
            <x v="1"/>
          </reference>
          <reference field="0" count="1" selected="0">
            <x v="21"/>
          </reference>
        </references>
      </pivotArea>
    </chartFormat>
    <chartFormat chart="11" format="22">
      <pivotArea type="data" outline="0" fieldPosition="0">
        <references count="2">
          <reference field="4294967294" count="1" selected="0">
            <x v="1"/>
          </reference>
          <reference field="0" count="1" selected="0">
            <x v="2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36DE29-8EBA-4CE8-8464-AB9EDC31FAA6}" name="Conditions_Table" cacheId="3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Conditions">
  <location ref="E20:F23" firstHeaderRow="1" firstDataRow="1" firstDataCol="1"/>
  <pivotFields count="5">
    <pivotField numFmtId="14" showAll="0">
      <items count="89">
        <item m="1" x="87"/>
        <item m="1" x="86"/>
        <item m="1" x="85"/>
        <item m="1" x="84"/>
        <item m="1" x="83"/>
        <item m="1" x="82"/>
        <item m="1" x="81"/>
        <item m="1" x="79"/>
        <item m="1" x="80"/>
        <item m="1" x="74"/>
        <item m="1" x="75"/>
        <item m="1" x="76"/>
        <item m="1" x="77"/>
        <item m="1" x="78"/>
        <item m="1" x="72"/>
        <item m="1" x="73"/>
        <item m="1" x="67"/>
        <item m="1" x="68"/>
        <item m="1" x="69"/>
        <item m="1" x="70"/>
        <item m="1" x="71"/>
        <item m="1" x="66"/>
        <item m="1" x="65"/>
        <item m="1" x="50"/>
        <item m="1" x="51"/>
        <item m="1" x="52"/>
        <item m="1" x="53"/>
        <item m="1" x="54"/>
        <item m="1" x="55"/>
        <item m="1" x="56"/>
        <item m="1" x="57"/>
        <item m="1" x="58"/>
        <item m="1" x="59"/>
        <item m="1" x="60"/>
        <item m="1" x="61"/>
        <item m="1" x="62"/>
        <item m="1" x="63"/>
        <item m="1" x="64"/>
        <item m="1" x="44"/>
        <item m="1" x="45"/>
        <item m="1" x="46"/>
        <item m="1" x="47"/>
        <item m="1" x="48"/>
        <item m="1" x="49"/>
        <item m="1" x="37"/>
        <item m="1" x="38"/>
        <item m="1" x="39"/>
        <item m="1" x="40"/>
        <item m="1" x="41"/>
        <item m="1" x="42"/>
        <item m="1" x="43"/>
        <item m="1" x="28"/>
        <item m="1" x="29"/>
        <item m="1" x="30"/>
        <item m="1" x="31"/>
        <item m="1" x="32"/>
        <item m="1" x="33"/>
        <item m="1" x="34"/>
        <item m="1" x="35"/>
        <item m="1" x="36"/>
        <item m="1" x="19"/>
        <item m="1" x="20"/>
        <item m="1" x="21"/>
        <item m="1" x="22"/>
        <item m="1" x="23"/>
        <item m="1" x="24"/>
        <item m="1" x="25"/>
        <item m="1" x="26"/>
        <item m="1" x="27"/>
        <item m="1" x="15"/>
        <item m="1" x="16"/>
        <item m="1" x="17"/>
        <item m="1" x="18"/>
        <item x="0"/>
        <item x="1"/>
        <item x="2"/>
        <item x="3"/>
        <item x="4"/>
        <item x="5"/>
        <item x="6"/>
        <item x="7"/>
        <item x="8"/>
        <item x="9"/>
        <item x="10"/>
        <item x="11"/>
        <item x="12"/>
        <item x="13"/>
        <item x="14"/>
        <item t="default"/>
      </items>
    </pivotField>
    <pivotField axis="axisRow" dataField="1" showAll="0">
      <items count="5">
        <item m="1" x="2"/>
        <item x="1"/>
        <item x="0"/>
        <item m="1" x="3"/>
        <item t="default"/>
      </items>
    </pivotField>
    <pivotField showAll="0"/>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items count="15">
        <item x="0"/>
        <item x="1"/>
        <item x="2"/>
        <item x="3"/>
        <item x="4"/>
        <item x="5"/>
        <item x="6"/>
        <item x="7"/>
        <item x="8"/>
        <item x="9"/>
        <item x="10"/>
        <item x="11"/>
        <item x="12"/>
        <item x="13"/>
        <item t="default"/>
      </items>
    </pivotField>
  </pivotFields>
  <rowFields count="1">
    <field x="1"/>
  </rowFields>
  <rowItems count="3">
    <i>
      <x v="1"/>
    </i>
    <i>
      <x v="2"/>
    </i>
    <i t="grand">
      <x/>
    </i>
  </rowItems>
  <colItems count="1">
    <i/>
  </colItems>
  <dataFields count="1">
    <dataField name="Count of Conditions" fld="1" subtotal="count" baseField="0" baseItem="0"/>
  </dataFields>
  <chartFormats count="5">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1" count="1" selected="0">
            <x v="0"/>
          </reference>
        </references>
      </pivotArea>
    </chartFormat>
    <chartFormat chart="3" format="10">
      <pivotArea type="data" outline="0" fieldPosition="0">
        <references count="2">
          <reference field="4294967294" count="1" selected="0">
            <x v="0"/>
          </reference>
          <reference field="1" count="1" selected="0">
            <x v="1"/>
          </reference>
        </references>
      </pivotArea>
    </chartFormat>
    <chartFormat chart="3" format="11">
      <pivotArea type="data" outline="0" fieldPosition="0">
        <references count="2">
          <reference field="4294967294" count="1" selected="0">
            <x v="0"/>
          </reference>
          <reference field="1" count="1" selected="0">
            <x v="2"/>
          </reference>
        </references>
      </pivotArea>
    </chartFormat>
    <chartFormat chart="3" format="12">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283B371-6F54-4F61-BC51-4891BC89AEC9}" name="Temp_Table" cacheId="4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Date">
  <location ref="A20:B35" firstHeaderRow="1" firstDataRow="1" firstDataCol="1"/>
  <pivotFields count="14">
    <pivotField axis="axisRow" numFmtId="14" showAll="0">
      <items count="90">
        <item m="1" x="88"/>
        <item m="1" x="87"/>
        <item m="1" x="86"/>
        <item m="1" x="85"/>
        <item m="1" x="84"/>
        <item m="1" x="83"/>
        <item m="1" x="82"/>
        <item m="1" x="81"/>
        <item m="1" x="79"/>
        <item m="1" x="80"/>
        <item m="1" x="74"/>
        <item m="1" x="75"/>
        <item m="1" x="76"/>
        <item m="1" x="77"/>
        <item m="1" x="78"/>
        <item m="1" x="72"/>
        <item m="1" x="73"/>
        <item m="1" x="67"/>
        <item m="1" x="68"/>
        <item m="1" x="69"/>
        <item m="1" x="70"/>
        <item m="1" x="71"/>
        <item m="1" x="66"/>
        <item m="1" x="65"/>
        <item m="1" x="50"/>
        <item m="1" x="51"/>
        <item m="1" x="52"/>
        <item m="1" x="53"/>
        <item m="1" x="54"/>
        <item m="1" x="55"/>
        <item m="1" x="56"/>
        <item m="1" x="57"/>
        <item m="1" x="58"/>
        <item m="1" x="59"/>
        <item m="1" x="60"/>
        <item m="1" x="61"/>
        <item m="1" x="62"/>
        <item m="1" x="63"/>
        <item m="1" x="64"/>
        <item m="1" x="44"/>
        <item m="1" x="45"/>
        <item m="1" x="46"/>
        <item m="1" x="47"/>
        <item m="1" x="48"/>
        <item m="1" x="49"/>
        <item m="1" x="37"/>
        <item m="1" x="38"/>
        <item m="1" x="39"/>
        <item m="1" x="40"/>
        <item m="1" x="41"/>
        <item m="1" x="42"/>
        <item m="1" x="43"/>
        <item m="1" x="28"/>
        <item m="1" x="29"/>
        <item m="1" x="30"/>
        <item m="1" x="31"/>
        <item m="1" x="32"/>
        <item m="1" x="33"/>
        <item m="1" x="34"/>
        <item m="1" x="35"/>
        <item m="1" x="36"/>
        <item m="1" x="23"/>
        <item m="1" x="24"/>
        <item m="1" x="25"/>
        <item m="1" x="26"/>
        <item m="1" x="27"/>
        <item m="1" x="19"/>
        <item m="1" x="20"/>
        <item m="1" x="21"/>
        <item m="1" x="22"/>
        <item m="1" x="15"/>
        <item m="1" x="16"/>
        <item m="1" x="17"/>
        <item m="1" x="18"/>
        <item x="0"/>
        <item x="1"/>
        <item x="2"/>
        <item x="3"/>
        <item x="4"/>
        <item x="5"/>
        <item x="6"/>
        <item x="7"/>
        <item x="8"/>
        <item x="9"/>
        <item x="10"/>
        <item x="11"/>
        <item x="12"/>
        <item x="13"/>
        <item x="14"/>
        <item t="default"/>
      </items>
    </pivotField>
    <pivotField showAll="0"/>
    <pivotField showAll="0"/>
    <pivotField dataField="1" showAll="0"/>
    <pivotField showAll="0"/>
    <pivotField showAll="0"/>
    <pivotField showAll="0"/>
    <pivotField showAll="0"/>
    <pivotField numFmtId="164" showAll="0"/>
    <pivotField numFmtId="164" showAll="0"/>
    <pivotField showAll="0"/>
    <pivotField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15">
    <i>
      <x v="74"/>
    </i>
    <i>
      <x v="75"/>
    </i>
    <i>
      <x v="76"/>
    </i>
    <i>
      <x v="77"/>
    </i>
    <i>
      <x v="78"/>
    </i>
    <i>
      <x v="79"/>
    </i>
    <i>
      <x v="80"/>
    </i>
    <i>
      <x v="81"/>
    </i>
    <i>
      <x v="82"/>
    </i>
    <i>
      <x v="83"/>
    </i>
    <i>
      <x v="84"/>
    </i>
    <i>
      <x v="85"/>
    </i>
    <i>
      <x v="86"/>
    </i>
    <i>
      <x v="87"/>
    </i>
    <i>
      <x v="88"/>
    </i>
  </rowItems>
  <colItems count="1">
    <i/>
  </colItems>
  <dataFields count="1">
    <dataField name="Temp_"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6AD19D2-0E81-4A9E-9B86-29ECAAA5C5DA}" name="Precipitation_Table" cacheId="4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0" rowHeaderCaption="Date">
  <location ref="I3:J18" firstHeaderRow="1" firstDataRow="1" firstDataCol="1"/>
  <pivotFields count="14">
    <pivotField axis="axisRow" numFmtId="14" showAll="0">
      <items count="90">
        <item m="1" x="88"/>
        <item m="1" x="87"/>
        <item m="1" x="86"/>
        <item m="1" x="85"/>
        <item m="1" x="84"/>
        <item m="1" x="83"/>
        <item m="1" x="82"/>
        <item m="1" x="81"/>
        <item m="1" x="79"/>
        <item m="1" x="80"/>
        <item m="1" x="74"/>
        <item m="1" x="75"/>
        <item m="1" x="76"/>
        <item m="1" x="77"/>
        <item m="1" x="78"/>
        <item m="1" x="72"/>
        <item m="1" x="73"/>
        <item m="1" x="67"/>
        <item m="1" x="68"/>
        <item m="1" x="69"/>
        <item m="1" x="70"/>
        <item m="1" x="71"/>
        <item m="1" x="66"/>
        <item m="1" x="65"/>
        <item m="1" x="50"/>
        <item m="1" x="51"/>
        <item m="1" x="52"/>
        <item m="1" x="53"/>
        <item m="1" x="54"/>
        <item m="1" x="55"/>
        <item m="1" x="56"/>
        <item m="1" x="57"/>
        <item m="1" x="58"/>
        <item m="1" x="59"/>
        <item m="1" x="60"/>
        <item m="1" x="61"/>
        <item m="1" x="62"/>
        <item m="1" x="63"/>
        <item m="1" x="64"/>
        <item m="1" x="44"/>
        <item m="1" x="45"/>
        <item m="1" x="46"/>
        <item m="1" x="47"/>
        <item m="1" x="48"/>
        <item m="1" x="49"/>
        <item m="1" x="37"/>
        <item m="1" x="38"/>
        <item m="1" x="39"/>
        <item m="1" x="40"/>
        <item m="1" x="41"/>
        <item m="1" x="42"/>
        <item m="1" x="43"/>
        <item m="1" x="28"/>
        <item m="1" x="29"/>
        <item m="1" x="30"/>
        <item m="1" x="31"/>
        <item m="1" x="32"/>
        <item m="1" x="33"/>
        <item m="1" x="34"/>
        <item m="1" x="35"/>
        <item m="1" x="36"/>
        <item m="1" x="23"/>
        <item m="1" x="24"/>
        <item m="1" x="25"/>
        <item m="1" x="26"/>
        <item m="1" x="27"/>
        <item m="1" x="19"/>
        <item m="1" x="20"/>
        <item m="1" x="21"/>
        <item m="1" x="22"/>
        <item m="1" x="15"/>
        <item m="1" x="16"/>
        <item m="1" x="17"/>
        <item m="1" x="18"/>
        <item x="0"/>
        <item x="1"/>
        <item x="2"/>
        <item x="3"/>
        <item x="4"/>
        <item x="5"/>
        <item x="6"/>
        <item x="7"/>
        <item x="8"/>
        <item x="9"/>
        <item x="10"/>
        <item x="11"/>
        <item x="12"/>
        <item x="13"/>
        <item x="14"/>
        <item t="default"/>
      </items>
    </pivotField>
    <pivotField showAll="0"/>
    <pivotField showAll="0"/>
    <pivotField showAll="0"/>
    <pivotField showAll="0"/>
    <pivotField dataField="1" showAll="0"/>
    <pivotField showAll="0"/>
    <pivotField showAll="0"/>
    <pivotField numFmtId="164" showAll="0"/>
    <pivotField numFmtId="164" showAll="0"/>
    <pivotField showAll="0"/>
    <pivotField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x="7"/>
        <item x="8"/>
        <item sd="0" x="9"/>
        <item sd="0" x="10"/>
        <item sd="0" x="11"/>
        <item sd="0" x="12"/>
        <item sd="0" x="13"/>
        <item t="default"/>
      </items>
    </pivotField>
  </pivotFields>
  <rowFields count="1">
    <field x="0"/>
  </rowFields>
  <rowItems count="15">
    <i>
      <x v="74"/>
    </i>
    <i>
      <x v="75"/>
    </i>
    <i>
      <x v="76"/>
    </i>
    <i>
      <x v="77"/>
    </i>
    <i>
      <x v="78"/>
    </i>
    <i>
      <x v="79"/>
    </i>
    <i>
      <x v="80"/>
    </i>
    <i>
      <x v="81"/>
    </i>
    <i>
      <x v="82"/>
    </i>
    <i>
      <x v="83"/>
    </i>
    <i>
      <x v="84"/>
    </i>
    <i>
      <x v="85"/>
    </i>
    <i>
      <x v="86"/>
    </i>
    <i>
      <x v="87"/>
    </i>
    <i>
      <x v="88"/>
    </i>
  </rowItems>
  <colItems count="1">
    <i/>
  </colItems>
  <dataFields count="1">
    <dataField name="Precipitation_" fld="5" baseField="0" baseItem="0" numFmtId="165"/>
  </dataFields>
  <formats count="1">
    <format dxfId="2">
      <pivotArea outline="0" collapsedLevelsAreSubtotals="1" fieldPosition="0"/>
    </format>
  </formats>
  <chartFormats count="6">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0" count="1" selected="0">
            <x v="31"/>
          </reference>
        </references>
      </pivotArea>
    </chartFormat>
    <chartFormat chart="5" format="4">
      <pivotArea type="data" outline="0" fieldPosition="0">
        <references count="2">
          <reference field="4294967294" count="1" selected="0">
            <x v="0"/>
          </reference>
          <reference field="0" count="1" selected="0">
            <x v="24"/>
          </reference>
        </references>
      </pivotArea>
    </chartFormat>
    <chartFormat chart="5" format="5">
      <pivotArea type="data" outline="0" fieldPosition="0">
        <references count="2">
          <reference field="4294967294" count="1" selected="0">
            <x v="0"/>
          </reference>
          <reference field="0" count="1" selected="0">
            <x v="25"/>
          </reference>
        </references>
      </pivotArea>
    </chartFormat>
    <chartFormat chart="5" format="6">
      <pivotArea type="data" outline="0" fieldPosition="0">
        <references count="2">
          <reference field="4294967294" count="1" selected="0">
            <x v="0"/>
          </reference>
          <reference field="0" count="1" selected="0">
            <x v="35"/>
          </reference>
        </references>
      </pivotArea>
    </chartFormat>
    <chartFormat chart="5" format="7">
      <pivotArea type="data" outline="0" fieldPosition="0">
        <references count="2">
          <reference field="4294967294" count="1" selected="0">
            <x v="0"/>
          </reference>
          <reference field="0" count="1" selected="0">
            <x v="3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57B5C6A1-A3BA-4FB5-AE36-24881D321E2F}" autoFormatId="16" applyNumberFormats="0" applyBorderFormats="0" applyFontFormats="0" applyPatternFormats="0" applyAlignmentFormats="0" applyWidthHeightFormats="0">
  <queryTableRefresh nextId="14">
    <queryTableFields count="12">
      <queryTableField id="1" name="Date" tableColumnId="1"/>
      <queryTableField id="2" name="Max Temp(°F)" tableColumnId="2"/>
      <queryTableField id="3" name="Min Temp(°F)" tableColumnId="3"/>
      <queryTableField id="12" name="Temp(°F)" tableColumnId="12"/>
      <queryTableField id="4" name="Humidity" tableColumnId="4"/>
      <queryTableField id="5" name="Precipitation" tableColumnId="5"/>
      <queryTableField id="6" name="Wind Speed" tableColumnId="6"/>
      <queryTableField id="7" name="UV Index" tableColumnId="7"/>
      <queryTableField id="8" name="Sunrise" tableColumnId="8"/>
      <queryTableField id="9" name="Sunset" tableColumnId="9"/>
      <queryTableField id="10" name="Conditions" tableColumnId="10"/>
      <queryTableField id="11" name="Description"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6822230F-F406-4397-8C3A-7F24A9CE0BC0}" autoFormatId="16" applyNumberFormats="0" applyBorderFormats="0" applyFontFormats="0" applyPatternFormats="0" applyAlignmentFormats="0" applyWidthHeightFormats="0">
  <queryTableRefresh nextId="4">
    <queryTableFields count="3">
      <queryTableField id="1" name="Date" tableColumnId="1"/>
      <queryTableField id="2" name="Conditions" tableColumnId="2"/>
      <queryTableField id="3" name="Description"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1886F5EB-3E9B-4097-97E5-86ED0AB6A741}" sourceName="Date">
  <pivotTables>
    <pivotTable tabId="2" name="Min_Max_Temp"/>
    <pivotTable tabId="2" name="Precipitation_Table"/>
    <pivotTable tabId="2" name="Wind_Humidity_Table"/>
    <pivotTable tabId="2" name="Temp_Table"/>
  </pivotTables>
  <data>
    <tabular pivotCacheId="330083906" showMissing="0">
      <items count="89">
        <i x="0" s="1"/>
        <i x="1" s="1"/>
        <i x="2" s="1"/>
        <i x="3" s="1"/>
        <i x="4" s="1"/>
        <i x="5" s="1"/>
        <i x="6" s="1"/>
        <i x="7" s="1"/>
        <i x="8" s="1"/>
        <i x="9" s="1"/>
        <i x="10" s="1"/>
        <i x="11" s="1"/>
        <i x="12" s="1"/>
        <i x="13" s="1"/>
        <i x="14" s="1"/>
        <i x="88" s="1" nd="1"/>
        <i x="87" s="1" nd="1"/>
        <i x="86" s="1" nd="1"/>
        <i x="85" s="1" nd="1"/>
        <i x="84" s="1" nd="1"/>
        <i x="83" s="1" nd="1"/>
        <i x="82" s="1" nd="1"/>
        <i x="81" s="1" nd="1"/>
        <i x="79" s="1" nd="1"/>
        <i x="80" s="1" nd="1"/>
        <i x="74" s="1" nd="1"/>
        <i x="75" s="1" nd="1"/>
        <i x="76" s="1" nd="1"/>
        <i x="77" s="1" nd="1"/>
        <i x="78" s="1" nd="1"/>
        <i x="72" s="1" nd="1"/>
        <i x="73" s="1" nd="1"/>
        <i x="67" s="1" nd="1"/>
        <i x="68" s="1" nd="1"/>
        <i x="69" s="1" nd="1"/>
        <i x="70" s="1" nd="1"/>
        <i x="71" s="1" nd="1"/>
        <i x="66" s="1" nd="1"/>
        <i x="65" s="1" nd="1"/>
        <i x="50" s="1" nd="1"/>
        <i x="51" s="1" nd="1"/>
        <i x="52" s="1" nd="1"/>
        <i x="53" s="1" nd="1"/>
        <i x="54" s="1" nd="1"/>
        <i x="55" s="1" nd="1"/>
        <i x="56" s="1" nd="1"/>
        <i x="57" s="1" nd="1"/>
        <i x="58" s="1" nd="1"/>
        <i x="59" s="1" nd="1"/>
        <i x="60" s="1" nd="1"/>
        <i x="61" s="1" nd="1"/>
        <i x="62" s="1" nd="1"/>
        <i x="63" s="1" nd="1"/>
        <i x="64" s="1" nd="1"/>
        <i x="44" s="1" nd="1"/>
        <i x="45" s="1" nd="1"/>
        <i x="46" s="1" nd="1"/>
        <i x="47" s="1" nd="1"/>
        <i x="48" s="1" nd="1"/>
        <i x="49" s="1" nd="1"/>
        <i x="37" s="1" nd="1"/>
        <i x="38" s="1" nd="1"/>
        <i x="39" s="1" nd="1"/>
        <i x="40" s="1" nd="1"/>
        <i x="41" s="1" nd="1"/>
        <i x="42" s="1" nd="1"/>
        <i x="43" s="1" nd="1"/>
        <i x="28" s="1" nd="1"/>
        <i x="29" s="1" nd="1"/>
        <i x="30" s="1" nd="1"/>
        <i x="31" s="1" nd="1"/>
        <i x="32" s="1" nd="1"/>
        <i x="33" s="1" nd="1"/>
        <i x="34" s="1" nd="1"/>
        <i x="35" s="1" nd="1"/>
        <i x="36" s="1" nd="1"/>
        <i x="23" s="1" nd="1"/>
        <i x="24" s="1" nd="1"/>
        <i x="25" s="1" nd="1"/>
        <i x="26" s="1" nd="1"/>
        <i x="27" s="1" nd="1"/>
        <i x="19" s="1" nd="1"/>
        <i x="20" s="1" nd="1"/>
        <i x="21" s="1" nd="1"/>
        <i x="22" s="1" nd="1"/>
        <i x="15" s="1" nd="1"/>
        <i x="16" s="1" nd="1"/>
        <i x="17" s="1" nd="1"/>
        <i x="1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5B8C37B8-1647-4959-B139-C9801FC325D6}" cache="Slicer_Date" caption="Date" style="Slicer Style 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4CC88C7-0185-45E1-AB0C-729039BF6F04}" name="Weather_Table" displayName="Weather_Table" ref="A1:L16" tableType="queryTable" totalsRowShown="0">
  <autoFilter ref="A1:L16" xr:uid="{74CC88C7-0185-45E1-AB0C-729039BF6F04}"/>
  <tableColumns count="12">
    <tableColumn id="1" xr3:uid="{59AFF8F7-A620-4A09-80AE-991F18A86164}" uniqueName="1" name="Date" queryTableFieldId="1" dataDxfId="1"/>
    <tableColumn id="2" xr3:uid="{1FA20368-0B94-4AC0-AB38-95C3C3EF46D2}" uniqueName="2" name="Max Temp(°F)" queryTableFieldId="2" dataDxfId="12"/>
    <tableColumn id="3" xr3:uid="{312B389A-D6A4-4AEA-9EB8-92C6915495DC}" uniqueName="3" name="Min Temp(°F)" queryTableFieldId="3" dataDxfId="11"/>
    <tableColumn id="12" xr3:uid="{6CD8256E-49F7-428E-9995-1EF79DCA1533}" uniqueName="12" name="Temp(°F)" queryTableFieldId="12"/>
    <tableColumn id="4" xr3:uid="{7364B162-E082-42A9-91A3-978152E35479}" uniqueName="4" name="Humidity" queryTableFieldId="4" dataDxfId="10"/>
    <tableColumn id="5" xr3:uid="{34E6C71E-726A-458D-A931-4DAECE39A0AF}" uniqueName="5" name="Precipitation" queryTableFieldId="5" dataDxfId="9"/>
    <tableColumn id="6" xr3:uid="{46608887-88FE-43F4-B16B-B5A3AB4539FA}" uniqueName="6" name="Wind Speed" queryTableFieldId="6" dataDxfId="8"/>
    <tableColumn id="7" xr3:uid="{A3EFB0EC-245E-45EC-B81A-EF240F0B7BB2}" uniqueName="7" name="UV Index" queryTableFieldId="7" dataDxfId="7"/>
    <tableColumn id="8" xr3:uid="{C12804A0-6C2C-48B4-B222-8D7B4B60DBD1}" uniqueName="8" name="Sunrise" queryTableFieldId="8" dataDxfId="6"/>
    <tableColumn id="9" xr3:uid="{0EBE29EA-94C2-4ACF-A9F8-B7C98A648F9A}" uniqueName="9" name="Sunset" queryTableFieldId="9" dataDxfId="5"/>
    <tableColumn id="10" xr3:uid="{84EC1FA5-C553-4AF6-9BC4-39AC1700CC11}" uniqueName="10" name="Conditions" queryTableFieldId="10" dataDxfId="4"/>
    <tableColumn id="11" xr3:uid="{523785B2-AB7F-4D29-9EDB-D4AF0D925BDF}" uniqueName="11" name="Description" queryTableFieldId="11" dataDxfId="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77E3894-9204-45AE-97D1-E3320D207BC5}" name="Conditions_Table" displayName="Conditions_Table" ref="O3:Q18" tableType="queryTable" totalsRowShown="0">
  <autoFilter ref="O3:Q18" xr:uid="{A77E3894-9204-45AE-97D1-E3320D207BC5}"/>
  <tableColumns count="3">
    <tableColumn id="1" xr3:uid="{4E3695A1-E15C-4804-8251-5B73613C557B}" uniqueName="1" name="Date" queryTableFieldId="1" dataDxfId="0"/>
    <tableColumn id="2" xr3:uid="{50E7317B-F285-4343-A3C7-75CBAA42C789}" uniqueName="2" name="Conditions" queryTableFieldId="2"/>
    <tableColumn id="3" xr3:uid="{2F335482-0439-4400-8254-B0323A2328D8}" uniqueName="3" name="Description"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690309-669A-49BB-931F-1EAF70A79CD7}">
  <sheetPr codeName="Sheet1"/>
  <dimension ref="A1:L18"/>
  <sheetViews>
    <sheetView zoomScale="83" workbookViewId="0">
      <selection activeCell="D24" sqref="D24"/>
    </sheetView>
  </sheetViews>
  <sheetFormatPr defaultRowHeight="14.4" x14ac:dyDescent="0.3"/>
  <cols>
    <col min="1" max="1" width="10.33203125" bestFit="1" customWidth="1"/>
    <col min="2" max="2" width="15.33203125" bestFit="1" customWidth="1"/>
    <col min="3" max="3" width="15.109375" bestFit="1" customWidth="1"/>
    <col min="4" max="5" width="11.21875" bestFit="1" customWidth="1"/>
    <col min="6" max="6" width="14.33203125" bestFit="1" customWidth="1"/>
    <col min="7" max="7" width="13.77734375" bestFit="1" customWidth="1"/>
    <col min="8" max="8" width="11.21875" bestFit="1" customWidth="1"/>
    <col min="9" max="9" width="9.77734375" bestFit="1" customWidth="1"/>
    <col min="10" max="10" width="9.21875" bestFit="1" customWidth="1"/>
    <col min="11" max="11" width="18.44140625" bestFit="1" customWidth="1"/>
    <col min="12" max="12" width="48.33203125" bestFit="1" customWidth="1"/>
  </cols>
  <sheetData>
    <row r="1" spans="1:12" x14ac:dyDescent="0.3">
      <c r="A1" t="s">
        <v>0</v>
      </c>
      <c r="B1" t="s">
        <v>1</v>
      </c>
      <c r="C1" t="s">
        <v>2</v>
      </c>
      <c r="D1" t="s">
        <v>18</v>
      </c>
      <c r="E1" t="s">
        <v>3</v>
      </c>
      <c r="F1" t="s">
        <v>4</v>
      </c>
      <c r="G1" t="s">
        <v>5</v>
      </c>
      <c r="H1" t="s">
        <v>6</v>
      </c>
      <c r="I1" t="s">
        <v>7</v>
      </c>
      <c r="J1" t="s">
        <v>8</v>
      </c>
      <c r="K1" t="s">
        <v>9</v>
      </c>
      <c r="L1" t="s">
        <v>10</v>
      </c>
    </row>
    <row r="2" spans="1:12" x14ac:dyDescent="0.3">
      <c r="A2" s="1">
        <v>45938</v>
      </c>
      <c r="B2">
        <v>87.7</v>
      </c>
      <c r="C2">
        <v>72.599999999999994</v>
      </c>
      <c r="D2">
        <v>79</v>
      </c>
      <c r="E2">
        <v>75.599999999999994</v>
      </c>
      <c r="F2">
        <v>0.73399999999999999</v>
      </c>
      <c r="G2">
        <v>8.3000000000000007</v>
      </c>
      <c r="H2">
        <v>10</v>
      </c>
      <c r="I2" t="s">
        <v>29</v>
      </c>
      <c r="J2" t="s">
        <v>30</v>
      </c>
      <c r="K2" t="s">
        <v>11</v>
      </c>
      <c r="L2" t="s">
        <v>39</v>
      </c>
    </row>
    <row r="3" spans="1:12" x14ac:dyDescent="0.3">
      <c r="A3" s="1">
        <v>45939</v>
      </c>
      <c r="B3">
        <v>86.1</v>
      </c>
      <c r="C3">
        <v>72.2</v>
      </c>
      <c r="D3">
        <v>77.7</v>
      </c>
      <c r="E3">
        <v>78.599999999999994</v>
      </c>
      <c r="F3">
        <v>0.20300000000000001</v>
      </c>
      <c r="G3">
        <v>11.4</v>
      </c>
      <c r="H3">
        <v>9</v>
      </c>
      <c r="I3" t="s">
        <v>28</v>
      </c>
      <c r="J3" t="s">
        <v>31</v>
      </c>
      <c r="K3" t="s">
        <v>11</v>
      </c>
      <c r="L3" t="s">
        <v>24</v>
      </c>
    </row>
    <row r="4" spans="1:12" x14ac:dyDescent="0.3">
      <c r="A4" s="1">
        <v>45940</v>
      </c>
      <c r="B4">
        <v>84.1</v>
      </c>
      <c r="C4">
        <v>72.099999999999994</v>
      </c>
      <c r="D4">
        <v>77</v>
      </c>
      <c r="E4">
        <v>79.3</v>
      </c>
      <c r="F4">
        <v>0.48599999999999999</v>
      </c>
      <c r="G4">
        <v>9.1999999999999993</v>
      </c>
      <c r="H4">
        <v>9</v>
      </c>
      <c r="I4" t="s">
        <v>27</v>
      </c>
      <c r="J4" t="s">
        <v>32</v>
      </c>
      <c r="K4" t="s">
        <v>12</v>
      </c>
      <c r="L4" t="s">
        <v>23</v>
      </c>
    </row>
    <row r="5" spans="1:12" x14ac:dyDescent="0.3">
      <c r="A5" s="1">
        <v>45941</v>
      </c>
      <c r="B5">
        <v>84.8</v>
      </c>
      <c r="C5">
        <v>73.3</v>
      </c>
      <c r="D5">
        <v>77.5</v>
      </c>
      <c r="E5">
        <v>78.2</v>
      </c>
      <c r="F5">
        <v>0.42199999999999999</v>
      </c>
      <c r="G5">
        <v>9.4</v>
      </c>
      <c r="H5">
        <v>10</v>
      </c>
      <c r="I5" t="s">
        <v>33</v>
      </c>
      <c r="J5" t="s">
        <v>34</v>
      </c>
      <c r="K5" t="s">
        <v>11</v>
      </c>
      <c r="L5" t="s">
        <v>24</v>
      </c>
    </row>
    <row r="6" spans="1:12" x14ac:dyDescent="0.3">
      <c r="A6" s="1">
        <v>45942</v>
      </c>
      <c r="B6">
        <v>85.6</v>
      </c>
      <c r="C6">
        <v>72.400000000000006</v>
      </c>
      <c r="D6">
        <v>76.8</v>
      </c>
      <c r="E6">
        <v>78.7</v>
      </c>
      <c r="F6">
        <v>0.30399999999999999</v>
      </c>
      <c r="G6">
        <v>8.6999999999999993</v>
      </c>
      <c r="H6">
        <v>9</v>
      </c>
      <c r="I6" t="s">
        <v>35</v>
      </c>
      <c r="J6" t="s">
        <v>36</v>
      </c>
      <c r="K6" t="s">
        <v>12</v>
      </c>
      <c r="L6" t="s">
        <v>23</v>
      </c>
    </row>
    <row r="7" spans="1:12" x14ac:dyDescent="0.3">
      <c r="A7" s="1">
        <v>45943</v>
      </c>
      <c r="B7">
        <v>85.4</v>
      </c>
      <c r="C7">
        <v>71.900000000000006</v>
      </c>
      <c r="D7">
        <v>77.099999999999994</v>
      </c>
      <c r="E7">
        <v>77.599999999999994</v>
      </c>
      <c r="F7">
        <v>0.496</v>
      </c>
      <c r="G7">
        <v>8.5</v>
      </c>
      <c r="H7">
        <v>9</v>
      </c>
      <c r="I7" t="s">
        <v>26</v>
      </c>
      <c r="J7" t="s">
        <v>37</v>
      </c>
      <c r="K7" t="s">
        <v>11</v>
      </c>
      <c r="L7" t="s">
        <v>24</v>
      </c>
    </row>
    <row r="8" spans="1:12" x14ac:dyDescent="0.3">
      <c r="A8" s="1">
        <v>45944</v>
      </c>
      <c r="B8">
        <v>87.3</v>
      </c>
      <c r="C8">
        <v>71.5</v>
      </c>
      <c r="D8">
        <v>78.3</v>
      </c>
      <c r="E8">
        <v>73.8</v>
      </c>
      <c r="F8">
        <v>0.10299999999999999</v>
      </c>
      <c r="G8">
        <v>8.5</v>
      </c>
      <c r="H8">
        <v>9</v>
      </c>
      <c r="I8" t="s">
        <v>25</v>
      </c>
      <c r="J8" t="s">
        <v>38</v>
      </c>
      <c r="K8" t="s">
        <v>11</v>
      </c>
      <c r="L8" t="s">
        <v>24</v>
      </c>
    </row>
    <row r="9" spans="1:12" x14ac:dyDescent="0.3">
      <c r="A9" s="1">
        <v>45945</v>
      </c>
      <c r="B9">
        <v>86.8</v>
      </c>
      <c r="C9">
        <v>72.099999999999994</v>
      </c>
      <c r="D9">
        <v>77.900000000000006</v>
      </c>
      <c r="E9">
        <v>75.3</v>
      </c>
      <c r="F9">
        <v>0.32700000000000001</v>
      </c>
      <c r="G9">
        <v>7.8</v>
      </c>
      <c r="H9">
        <v>9</v>
      </c>
      <c r="I9" t="s">
        <v>40</v>
      </c>
      <c r="J9" t="s">
        <v>41</v>
      </c>
      <c r="K9" t="s">
        <v>11</v>
      </c>
      <c r="L9" t="s">
        <v>24</v>
      </c>
    </row>
    <row r="10" spans="1:12" x14ac:dyDescent="0.3">
      <c r="A10" s="1">
        <v>45946</v>
      </c>
      <c r="B10">
        <v>83</v>
      </c>
      <c r="C10">
        <v>71.7</v>
      </c>
      <c r="D10">
        <v>76.2</v>
      </c>
      <c r="E10">
        <v>80.8</v>
      </c>
      <c r="F10">
        <v>0.29199999999999998</v>
      </c>
      <c r="G10">
        <v>6.7</v>
      </c>
      <c r="H10">
        <v>7</v>
      </c>
      <c r="I10" t="s">
        <v>42</v>
      </c>
      <c r="J10" t="s">
        <v>43</v>
      </c>
      <c r="K10" t="s">
        <v>12</v>
      </c>
      <c r="L10" t="s">
        <v>48</v>
      </c>
    </row>
    <row r="11" spans="1:12" x14ac:dyDescent="0.3">
      <c r="A11" s="1">
        <v>45947</v>
      </c>
      <c r="B11">
        <v>83.4</v>
      </c>
      <c r="C11">
        <v>71.900000000000006</v>
      </c>
      <c r="D11">
        <v>76.5</v>
      </c>
      <c r="E11">
        <v>82.1</v>
      </c>
      <c r="F11">
        <v>0.96</v>
      </c>
      <c r="G11">
        <v>4</v>
      </c>
      <c r="H11">
        <v>6</v>
      </c>
      <c r="I11" t="s">
        <v>44</v>
      </c>
      <c r="J11" t="s">
        <v>45</v>
      </c>
      <c r="K11" t="s">
        <v>12</v>
      </c>
      <c r="L11" t="s">
        <v>23</v>
      </c>
    </row>
    <row r="12" spans="1:12" x14ac:dyDescent="0.3">
      <c r="A12" s="1">
        <v>45948</v>
      </c>
      <c r="B12">
        <v>85</v>
      </c>
      <c r="C12">
        <v>72.400000000000006</v>
      </c>
      <c r="D12">
        <v>77.599999999999994</v>
      </c>
      <c r="E12">
        <v>80.2</v>
      </c>
      <c r="F12">
        <v>0.57399999999999995</v>
      </c>
      <c r="G12">
        <v>7.6</v>
      </c>
      <c r="H12">
        <v>8</v>
      </c>
      <c r="I12" t="s">
        <v>46</v>
      </c>
      <c r="J12" t="s">
        <v>47</v>
      </c>
      <c r="K12" t="s">
        <v>11</v>
      </c>
      <c r="L12" t="s">
        <v>24</v>
      </c>
    </row>
    <row r="13" spans="1:12" x14ac:dyDescent="0.3">
      <c r="A13" s="1">
        <v>45949</v>
      </c>
      <c r="B13">
        <v>83.6</v>
      </c>
      <c r="C13">
        <v>73.7</v>
      </c>
      <c r="D13">
        <v>77.3</v>
      </c>
      <c r="E13">
        <v>80.900000000000006</v>
      </c>
      <c r="F13">
        <v>0.67700000000000005</v>
      </c>
      <c r="G13">
        <v>7.4</v>
      </c>
      <c r="H13">
        <v>8</v>
      </c>
      <c r="I13" t="s">
        <v>49</v>
      </c>
      <c r="J13" t="s">
        <v>50</v>
      </c>
      <c r="K13" t="s">
        <v>11</v>
      </c>
      <c r="L13" t="s">
        <v>24</v>
      </c>
    </row>
    <row r="14" spans="1:12" x14ac:dyDescent="0.3">
      <c r="A14" s="1">
        <v>45950</v>
      </c>
      <c r="B14">
        <v>83.4</v>
      </c>
      <c r="C14">
        <v>72.400000000000006</v>
      </c>
      <c r="D14">
        <v>76.8</v>
      </c>
      <c r="E14">
        <v>83.1</v>
      </c>
      <c r="F14">
        <v>0.878</v>
      </c>
      <c r="G14">
        <v>8.5</v>
      </c>
      <c r="H14">
        <v>8</v>
      </c>
      <c r="I14" t="s">
        <v>51</v>
      </c>
      <c r="J14" t="s">
        <v>52</v>
      </c>
      <c r="K14" t="s">
        <v>11</v>
      </c>
      <c r="L14" t="s">
        <v>24</v>
      </c>
    </row>
    <row r="15" spans="1:12" x14ac:dyDescent="0.3">
      <c r="A15" s="1">
        <v>45951</v>
      </c>
      <c r="B15">
        <v>83.9</v>
      </c>
      <c r="C15">
        <v>71.900000000000006</v>
      </c>
      <c r="D15">
        <v>77</v>
      </c>
      <c r="E15">
        <v>81.400000000000006</v>
      </c>
      <c r="F15">
        <v>0.77600000000000002</v>
      </c>
      <c r="G15">
        <v>6.9</v>
      </c>
      <c r="H15">
        <v>8</v>
      </c>
      <c r="I15" t="s">
        <v>53</v>
      </c>
      <c r="J15" t="s">
        <v>54</v>
      </c>
      <c r="K15" t="s">
        <v>11</v>
      </c>
      <c r="L15" t="s">
        <v>24</v>
      </c>
    </row>
    <row r="16" spans="1:12" x14ac:dyDescent="0.3">
      <c r="A16" s="1">
        <v>45952</v>
      </c>
      <c r="B16">
        <v>84.3</v>
      </c>
      <c r="C16">
        <v>72.900000000000006</v>
      </c>
      <c r="D16">
        <v>77.099999999999994</v>
      </c>
      <c r="E16">
        <v>80.900000000000006</v>
      </c>
      <c r="F16">
        <v>0.79500000000000004</v>
      </c>
      <c r="G16">
        <v>7.4</v>
      </c>
      <c r="H16">
        <v>7</v>
      </c>
      <c r="I16" t="s">
        <v>55</v>
      </c>
      <c r="J16" t="s">
        <v>56</v>
      </c>
      <c r="K16" t="s">
        <v>11</v>
      </c>
      <c r="L16" t="s">
        <v>24</v>
      </c>
    </row>
    <row r="17" spans="1:1" x14ac:dyDescent="0.3">
      <c r="A17" s="1"/>
    </row>
    <row r="18" spans="1:1" x14ac:dyDescent="0.3">
      <c r="A18" s="1"/>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437D9-C34F-4D78-A849-50D9BA39BF41}">
  <sheetPr codeName="Sheet2"/>
  <dimension ref="A1:Q35"/>
  <sheetViews>
    <sheetView topLeftCell="G1" zoomScale="84" zoomScaleNormal="40" workbookViewId="0">
      <selection activeCell="P8" sqref="P8"/>
    </sheetView>
  </sheetViews>
  <sheetFormatPr defaultRowHeight="14.4" x14ac:dyDescent="0.3"/>
  <cols>
    <col min="1" max="1" width="10.33203125" bestFit="1" customWidth="1"/>
    <col min="2" max="2" width="6.77734375" bestFit="1" customWidth="1"/>
    <col min="3" max="3" width="10.109375" bestFit="1" customWidth="1"/>
    <col min="4" max="4" width="44.6640625" bestFit="1" customWidth="1"/>
    <col min="5" max="5" width="10.33203125" bestFit="1" customWidth="1"/>
    <col min="6" max="6" width="11.6640625" bestFit="1" customWidth="1"/>
    <col min="7" max="7" width="9.6640625" bestFit="1" customWidth="1"/>
    <col min="8" max="8" width="15.21875" bestFit="1" customWidth="1"/>
    <col min="9" max="9" width="10.33203125" bestFit="1" customWidth="1"/>
    <col min="10" max="10" width="12.6640625" bestFit="1" customWidth="1"/>
    <col min="11" max="11" width="51.109375" bestFit="1" customWidth="1"/>
    <col min="12" max="12" width="17.5546875" customWidth="1"/>
    <col min="13" max="13" width="14.77734375" customWidth="1"/>
    <col min="14" max="14" width="7.5546875" customWidth="1"/>
    <col min="15" max="15" width="10.33203125" bestFit="1" customWidth="1"/>
    <col min="16" max="16" width="18.21875" bestFit="1" customWidth="1"/>
    <col min="17" max="17" width="47.77734375" bestFit="1" customWidth="1"/>
    <col min="18" max="18" width="30" bestFit="1" customWidth="1"/>
    <col min="19" max="19" width="10.77734375" bestFit="1" customWidth="1"/>
    <col min="20" max="24" width="10.33203125" bestFit="1" customWidth="1"/>
    <col min="25" max="25" width="10.77734375" bestFit="1" customWidth="1"/>
  </cols>
  <sheetData>
    <row r="1" spans="1:17" x14ac:dyDescent="0.3">
      <c r="D1" t="str">
        <f>"Climate Analytics Dashboard: " &amp; TEXT(MIN($A$4:$A$18), "dd-mmm") &amp; " to " &amp; TEXT(MAX($A$4:$A$18), "dd-mmm-yyyy")</f>
        <v>Climate Analytics Dashboard: 08-Oct to 22-Oct-2025</v>
      </c>
    </row>
    <row r="3" spans="1:17" x14ac:dyDescent="0.3">
      <c r="A3" s="2" t="s">
        <v>0</v>
      </c>
      <c r="B3" t="s">
        <v>19</v>
      </c>
      <c r="C3" t="s">
        <v>20</v>
      </c>
      <c r="E3" s="2" t="s">
        <v>0</v>
      </c>
      <c r="F3" t="s">
        <v>14</v>
      </c>
      <c r="G3" t="s">
        <v>15</v>
      </c>
      <c r="I3" s="2" t="s">
        <v>0</v>
      </c>
      <c r="J3" t="s">
        <v>16</v>
      </c>
      <c r="K3" s="2" t="s">
        <v>22</v>
      </c>
      <c r="O3" t="s">
        <v>0</v>
      </c>
      <c r="P3" t="s">
        <v>9</v>
      </c>
      <c r="Q3" t="s">
        <v>10</v>
      </c>
    </row>
    <row r="4" spans="1:17" x14ac:dyDescent="0.3">
      <c r="A4" s="3">
        <v>45938</v>
      </c>
      <c r="B4" s="8">
        <v>87.7</v>
      </c>
      <c r="C4" s="8">
        <v>72.599999999999994</v>
      </c>
      <c r="E4" s="3">
        <v>45938</v>
      </c>
      <c r="F4" s="8">
        <v>8.3000000000000007</v>
      </c>
      <c r="G4" s="8">
        <v>75.599999999999994</v>
      </c>
      <c r="I4" s="3">
        <v>45938</v>
      </c>
      <c r="J4" s="7">
        <v>0.73399999999999999</v>
      </c>
      <c r="K4" s="3">
        <v>45938</v>
      </c>
      <c r="O4" s="1">
        <v>45938</v>
      </c>
      <c r="P4" t="s">
        <v>11</v>
      </c>
      <c r="Q4" t="s">
        <v>39</v>
      </c>
    </row>
    <row r="5" spans="1:17" x14ac:dyDescent="0.3">
      <c r="A5" s="3">
        <v>45939</v>
      </c>
      <c r="B5" s="8">
        <v>86.1</v>
      </c>
      <c r="C5" s="8">
        <v>72.2</v>
      </c>
      <c r="E5" s="3">
        <v>45939</v>
      </c>
      <c r="F5" s="8">
        <v>11.4</v>
      </c>
      <c r="G5" s="8">
        <v>78.599999999999994</v>
      </c>
      <c r="I5" s="3">
        <v>45939</v>
      </c>
      <c r="J5" s="7">
        <v>0.20300000000000001</v>
      </c>
      <c r="K5" s="5" t="s">
        <v>39</v>
      </c>
      <c r="O5" s="1">
        <v>45939</v>
      </c>
      <c r="P5" t="s">
        <v>11</v>
      </c>
      <c r="Q5" t="s">
        <v>24</v>
      </c>
    </row>
    <row r="6" spans="1:17" x14ac:dyDescent="0.3">
      <c r="A6" s="3">
        <v>45940</v>
      </c>
      <c r="B6" s="8">
        <v>84.1</v>
      </c>
      <c r="C6" s="8">
        <v>72.099999999999994</v>
      </c>
      <c r="E6" s="3">
        <v>45940</v>
      </c>
      <c r="F6" s="8">
        <v>9.1999999999999993</v>
      </c>
      <c r="G6" s="8">
        <v>79.3</v>
      </c>
      <c r="I6" s="3">
        <v>45940</v>
      </c>
      <c r="J6" s="7">
        <v>0.48599999999999999</v>
      </c>
      <c r="K6" s="3">
        <v>45939</v>
      </c>
      <c r="O6" s="1">
        <v>45940</v>
      </c>
      <c r="P6" t="s">
        <v>12</v>
      </c>
      <c r="Q6" t="s">
        <v>23</v>
      </c>
    </row>
    <row r="7" spans="1:17" x14ac:dyDescent="0.3">
      <c r="A7" s="3">
        <v>45941</v>
      </c>
      <c r="B7" s="8">
        <v>84.8</v>
      </c>
      <c r="C7" s="8">
        <v>73.3</v>
      </c>
      <c r="E7" s="3">
        <v>45941</v>
      </c>
      <c r="F7" s="8">
        <v>9.4</v>
      </c>
      <c r="G7" s="8">
        <v>78.2</v>
      </c>
      <c r="I7" s="3">
        <v>45941</v>
      </c>
      <c r="J7" s="7">
        <v>0.42199999999999999</v>
      </c>
      <c r="K7" s="5" t="s">
        <v>24</v>
      </c>
      <c r="O7" s="1">
        <v>45941</v>
      </c>
      <c r="P7" t="s">
        <v>11</v>
      </c>
      <c r="Q7" t="s">
        <v>24</v>
      </c>
    </row>
    <row r="8" spans="1:17" x14ac:dyDescent="0.3">
      <c r="A8" s="3">
        <v>45942</v>
      </c>
      <c r="B8" s="8">
        <v>85.6</v>
      </c>
      <c r="C8" s="8">
        <v>72.400000000000006</v>
      </c>
      <c r="E8" s="3">
        <v>45942</v>
      </c>
      <c r="F8" s="8">
        <v>8.6999999999999993</v>
      </c>
      <c r="G8" s="8">
        <v>78.7</v>
      </c>
      <c r="I8" s="3">
        <v>45942</v>
      </c>
      <c r="J8" s="7">
        <v>0.30399999999999999</v>
      </c>
      <c r="K8" s="3">
        <v>45940</v>
      </c>
      <c r="O8" s="1">
        <v>45942</v>
      </c>
      <c r="P8" t="s">
        <v>12</v>
      </c>
      <c r="Q8" t="s">
        <v>23</v>
      </c>
    </row>
    <row r="9" spans="1:17" x14ac:dyDescent="0.3">
      <c r="A9" s="3">
        <v>45943</v>
      </c>
      <c r="B9" s="8">
        <v>85.4</v>
      </c>
      <c r="C9" s="8">
        <v>71.900000000000006</v>
      </c>
      <c r="E9" s="3">
        <v>45943</v>
      </c>
      <c r="F9" s="8">
        <v>8.5</v>
      </c>
      <c r="G9" s="8">
        <v>77.599999999999994</v>
      </c>
      <c r="I9" s="3">
        <v>45943</v>
      </c>
      <c r="J9" s="7">
        <v>0.496</v>
      </c>
      <c r="K9" s="5" t="s">
        <v>23</v>
      </c>
      <c r="O9" s="1">
        <v>45943</v>
      </c>
      <c r="P9" t="s">
        <v>11</v>
      </c>
      <c r="Q9" t="s">
        <v>24</v>
      </c>
    </row>
    <row r="10" spans="1:17" x14ac:dyDescent="0.3">
      <c r="A10" s="3">
        <v>45944</v>
      </c>
      <c r="B10" s="8">
        <v>87.3</v>
      </c>
      <c r="C10" s="8">
        <v>71.5</v>
      </c>
      <c r="E10" s="3">
        <v>45944</v>
      </c>
      <c r="F10" s="8">
        <v>8.5</v>
      </c>
      <c r="G10" s="8">
        <v>73.8</v>
      </c>
      <c r="I10" s="3">
        <v>45944</v>
      </c>
      <c r="J10" s="7">
        <v>0.10299999999999999</v>
      </c>
      <c r="K10" s="3">
        <v>45941</v>
      </c>
      <c r="O10" s="1">
        <v>45944</v>
      </c>
      <c r="P10" t="s">
        <v>11</v>
      </c>
      <c r="Q10" t="s">
        <v>24</v>
      </c>
    </row>
    <row r="11" spans="1:17" x14ac:dyDescent="0.3">
      <c r="A11" s="3">
        <v>45945</v>
      </c>
      <c r="B11" s="8">
        <v>86.8</v>
      </c>
      <c r="C11" s="8">
        <v>72.099999999999994</v>
      </c>
      <c r="E11" s="3">
        <v>45945</v>
      </c>
      <c r="F11" s="8">
        <v>7.8</v>
      </c>
      <c r="G11" s="8">
        <v>75.3</v>
      </c>
      <c r="I11" s="3">
        <v>45945</v>
      </c>
      <c r="J11" s="7">
        <v>0.32700000000000001</v>
      </c>
      <c r="K11" s="5" t="s">
        <v>24</v>
      </c>
      <c r="O11" s="1">
        <v>45945</v>
      </c>
      <c r="P11" t="s">
        <v>11</v>
      </c>
      <c r="Q11" t="s">
        <v>24</v>
      </c>
    </row>
    <row r="12" spans="1:17" x14ac:dyDescent="0.3">
      <c r="A12" s="3">
        <v>45946</v>
      </c>
      <c r="B12" s="8">
        <v>83</v>
      </c>
      <c r="C12" s="8">
        <v>71.7</v>
      </c>
      <c r="E12" s="3">
        <v>45946</v>
      </c>
      <c r="F12" s="8">
        <v>6.7</v>
      </c>
      <c r="G12" s="8">
        <v>80.8</v>
      </c>
      <c r="I12" s="3">
        <v>45946</v>
      </c>
      <c r="J12" s="7">
        <v>0.29199999999999998</v>
      </c>
      <c r="K12" s="3">
        <v>45942</v>
      </c>
      <c r="O12" s="1">
        <v>45946</v>
      </c>
      <c r="P12" t="s">
        <v>12</v>
      </c>
      <c r="Q12" t="s">
        <v>48</v>
      </c>
    </row>
    <row r="13" spans="1:17" x14ac:dyDescent="0.3">
      <c r="A13" s="3">
        <v>45947</v>
      </c>
      <c r="B13" s="8">
        <v>83.4</v>
      </c>
      <c r="C13" s="8">
        <v>71.900000000000006</v>
      </c>
      <c r="E13" s="3">
        <v>45947</v>
      </c>
      <c r="F13" s="8">
        <v>4</v>
      </c>
      <c r="G13" s="8">
        <v>82.1</v>
      </c>
      <c r="I13" s="3">
        <v>45947</v>
      </c>
      <c r="J13" s="7">
        <v>0.96</v>
      </c>
      <c r="K13" s="5" t="s">
        <v>23</v>
      </c>
      <c r="O13" s="1">
        <v>45947</v>
      </c>
      <c r="P13" t="s">
        <v>12</v>
      </c>
      <c r="Q13" t="s">
        <v>23</v>
      </c>
    </row>
    <row r="14" spans="1:17" x14ac:dyDescent="0.3">
      <c r="A14" s="3">
        <v>45948</v>
      </c>
      <c r="B14" s="8">
        <v>85</v>
      </c>
      <c r="C14" s="8">
        <v>72.400000000000006</v>
      </c>
      <c r="E14" s="3">
        <v>45948</v>
      </c>
      <c r="F14" s="8">
        <v>7.6</v>
      </c>
      <c r="G14" s="8">
        <v>80.2</v>
      </c>
      <c r="I14" s="3">
        <v>45948</v>
      </c>
      <c r="J14" s="7">
        <v>0.57399999999999995</v>
      </c>
      <c r="K14" s="3">
        <v>45943</v>
      </c>
      <c r="O14" s="1">
        <v>45948</v>
      </c>
      <c r="P14" t="s">
        <v>11</v>
      </c>
      <c r="Q14" t="s">
        <v>24</v>
      </c>
    </row>
    <row r="15" spans="1:17" x14ac:dyDescent="0.3">
      <c r="A15" s="3">
        <v>45949</v>
      </c>
      <c r="B15" s="8">
        <v>83.6</v>
      </c>
      <c r="C15" s="8">
        <v>73.7</v>
      </c>
      <c r="E15" s="3">
        <v>45949</v>
      </c>
      <c r="F15" s="8">
        <v>7.4</v>
      </c>
      <c r="G15" s="8">
        <v>80.900000000000006</v>
      </c>
      <c r="I15" s="3">
        <v>45949</v>
      </c>
      <c r="J15" s="7">
        <v>0.67700000000000005</v>
      </c>
      <c r="K15" s="5" t="s">
        <v>24</v>
      </c>
      <c r="O15" s="1">
        <v>45949</v>
      </c>
      <c r="P15" t="s">
        <v>11</v>
      </c>
      <c r="Q15" t="s">
        <v>24</v>
      </c>
    </row>
    <row r="16" spans="1:17" x14ac:dyDescent="0.3">
      <c r="A16" s="3">
        <v>45950</v>
      </c>
      <c r="B16" s="8">
        <v>83.4</v>
      </c>
      <c r="C16" s="8">
        <v>72.400000000000006</v>
      </c>
      <c r="E16" s="3">
        <v>45950</v>
      </c>
      <c r="F16" s="8">
        <v>8.5</v>
      </c>
      <c r="G16" s="8">
        <v>83.1</v>
      </c>
      <c r="I16" s="3">
        <v>45950</v>
      </c>
      <c r="J16" s="7">
        <v>0.878</v>
      </c>
      <c r="K16" s="3">
        <v>45944</v>
      </c>
      <c r="O16" s="1">
        <v>45950</v>
      </c>
      <c r="P16" t="s">
        <v>11</v>
      </c>
      <c r="Q16" t="s">
        <v>24</v>
      </c>
    </row>
    <row r="17" spans="1:17" x14ac:dyDescent="0.3">
      <c r="A17" s="3">
        <v>45951</v>
      </c>
      <c r="B17" s="8">
        <v>83.9</v>
      </c>
      <c r="C17" s="8">
        <v>71.900000000000006</v>
      </c>
      <c r="E17" s="3">
        <v>45951</v>
      </c>
      <c r="F17" s="8">
        <v>6.9</v>
      </c>
      <c r="G17" s="8">
        <v>81.400000000000006</v>
      </c>
      <c r="I17" s="3">
        <v>45951</v>
      </c>
      <c r="J17" s="7">
        <v>0.77600000000000002</v>
      </c>
      <c r="K17" s="5" t="s">
        <v>24</v>
      </c>
      <c r="O17" s="1">
        <v>45951</v>
      </c>
      <c r="P17" t="s">
        <v>11</v>
      </c>
      <c r="Q17" t="s">
        <v>24</v>
      </c>
    </row>
    <row r="18" spans="1:17" x14ac:dyDescent="0.3">
      <c r="A18" s="3">
        <v>45952</v>
      </c>
      <c r="B18" s="8">
        <v>84.3</v>
      </c>
      <c r="C18" s="8">
        <v>72.900000000000006</v>
      </c>
      <c r="E18" s="3">
        <v>45952</v>
      </c>
      <c r="F18" s="8">
        <v>7.4</v>
      </c>
      <c r="G18" s="8">
        <v>80.900000000000006</v>
      </c>
      <c r="I18" s="3">
        <v>45952</v>
      </c>
      <c r="J18" s="7">
        <v>0.79500000000000004</v>
      </c>
      <c r="K18" s="3">
        <v>45945</v>
      </c>
      <c r="O18" s="1">
        <v>45952</v>
      </c>
      <c r="P18" t="s">
        <v>11</v>
      </c>
      <c r="Q18" t="s">
        <v>24</v>
      </c>
    </row>
    <row r="19" spans="1:17" x14ac:dyDescent="0.3">
      <c r="K19" s="5" t="s">
        <v>24</v>
      </c>
    </row>
    <row r="20" spans="1:17" x14ac:dyDescent="0.3">
      <c r="A20" s="2" t="s">
        <v>0</v>
      </c>
      <c r="B20" t="s">
        <v>21</v>
      </c>
      <c r="E20" s="2" t="s">
        <v>9</v>
      </c>
      <c r="F20" t="s">
        <v>17</v>
      </c>
      <c r="K20" s="3">
        <v>45946</v>
      </c>
    </row>
    <row r="21" spans="1:17" x14ac:dyDescent="0.3">
      <c r="A21" s="3">
        <v>45938</v>
      </c>
      <c r="B21" s="8">
        <v>79</v>
      </c>
      <c r="D21" s="1"/>
      <c r="E21" s="4" t="s">
        <v>12</v>
      </c>
      <c r="F21" s="8">
        <v>4</v>
      </c>
      <c r="K21" s="5" t="s">
        <v>48</v>
      </c>
    </row>
    <row r="22" spans="1:17" x14ac:dyDescent="0.3">
      <c r="A22" s="3">
        <v>45939</v>
      </c>
      <c r="B22" s="8">
        <v>77.7</v>
      </c>
      <c r="E22" s="4" t="s">
        <v>11</v>
      </c>
      <c r="F22" s="8">
        <v>11</v>
      </c>
      <c r="K22" s="3">
        <v>45947</v>
      </c>
    </row>
    <row r="23" spans="1:17" x14ac:dyDescent="0.3">
      <c r="A23" s="3">
        <v>45940</v>
      </c>
      <c r="B23" s="8">
        <v>77</v>
      </c>
      <c r="E23" s="4" t="s">
        <v>13</v>
      </c>
      <c r="F23" s="8">
        <v>15</v>
      </c>
      <c r="K23" s="5" t="s">
        <v>23</v>
      </c>
    </row>
    <row r="24" spans="1:17" x14ac:dyDescent="0.3">
      <c r="A24" s="3">
        <v>45941</v>
      </c>
      <c r="B24" s="8">
        <v>77.5</v>
      </c>
      <c r="K24" s="3">
        <v>45948</v>
      </c>
    </row>
    <row r="25" spans="1:17" x14ac:dyDescent="0.3">
      <c r="A25" s="3">
        <v>45942</v>
      </c>
      <c r="B25" s="8">
        <v>76.8</v>
      </c>
      <c r="K25" s="5" t="s">
        <v>24</v>
      </c>
    </row>
    <row r="26" spans="1:17" x14ac:dyDescent="0.3">
      <c r="A26" s="3">
        <v>45943</v>
      </c>
      <c r="B26" s="8">
        <v>77.099999999999994</v>
      </c>
      <c r="K26" s="3">
        <v>45949</v>
      </c>
    </row>
    <row r="27" spans="1:17" x14ac:dyDescent="0.3">
      <c r="A27" s="3">
        <v>45944</v>
      </c>
      <c r="B27" s="8">
        <v>78.3</v>
      </c>
      <c r="K27" s="5" t="s">
        <v>24</v>
      </c>
    </row>
    <row r="28" spans="1:17" x14ac:dyDescent="0.3">
      <c r="A28" s="3">
        <v>45945</v>
      </c>
      <c r="B28" s="8">
        <v>77.900000000000006</v>
      </c>
      <c r="K28" s="3">
        <v>45950</v>
      </c>
    </row>
    <row r="29" spans="1:17" x14ac:dyDescent="0.3">
      <c r="A29" s="3">
        <v>45946</v>
      </c>
      <c r="B29" s="8">
        <v>76.2</v>
      </c>
      <c r="K29" s="5" t="s">
        <v>24</v>
      </c>
    </row>
    <row r="30" spans="1:17" x14ac:dyDescent="0.3">
      <c r="A30" s="3">
        <v>45947</v>
      </c>
      <c r="B30" s="8">
        <v>76.5</v>
      </c>
      <c r="K30" s="3">
        <v>45951</v>
      </c>
    </row>
    <row r="31" spans="1:17" x14ac:dyDescent="0.3">
      <c r="A31" s="3">
        <v>45948</v>
      </c>
      <c r="B31" s="8">
        <v>77.599999999999994</v>
      </c>
      <c r="K31" s="5" t="s">
        <v>24</v>
      </c>
    </row>
    <row r="32" spans="1:17" x14ac:dyDescent="0.3">
      <c r="A32" s="3">
        <v>45949</v>
      </c>
      <c r="B32" s="8">
        <v>77.3</v>
      </c>
      <c r="K32" s="3">
        <v>45952</v>
      </c>
    </row>
    <row r="33" spans="1:11" x14ac:dyDescent="0.3">
      <c r="A33" s="3">
        <v>45950</v>
      </c>
      <c r="B33" s="8">
        <v>76.8</v>
      </c>
      <c r="K33" s="5" t="s">
        <v>24</v>
      </c>
    </row>
    <row r="34" spans="1:11" x14ac:dyDescent="0.3">
      <c r="A34" s="3">
        <v>45951</v>
      </c>
      <c r="B34" s="8">
        <v>77</v>
      </c>
    </row>
    <row r="35" spans="1:11" x14ac:dyDescent="0.3">
      <c r="A35" s="3">
        <v>45952</v>
      </c>
      <c r="B35" s="8">
        <v>77.099999999999994</v>
      </c>
    </row>
  </sheetData>
  <pageMargins left="0.7" right="0.7" top="0.75" bottom="0.75" header="0.3" footer="0.3"/>
  <pageSetup orientation="portrait" r:id="rId7"/>
  <tableParts count="1">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42C750-3DDE-4246-9CC4-59D951EB03A4}">
  <sheetPr codeName="Sheet3"/>
  <dimension ref="A12"/>
  <sheetViews>
    <sheetView showGridLines="0" showRowColHeaders="0" tabSelected="1" zoomScale="84" zoomScaleNormal="84" zoomScaleSheetLayoutView="84" zoomScalePageLayoutView="81" workbookViewId="0">
      <selection activeCell="T20" sqref="T20"/>
    </sheetView>
  </sheetViews>
  <sheetFormatPr defaultRowHeight="14.4" x14ac:dyDescent="0.3"/>
  <cols>
    <col min="1" max="1" width="18" bestFit="1" customWidth="1"/>
  </cols>
  <sheetData>
    <row r="12" spans="1:1" x14ac:dyDescent="0.3">
      <c r="A12" s="6"/>
    </row>
  </sheetData>
  <pageMargins left="0.7" right="0.7" top="0.75" bottom="0.75" header="0.3" footer="0.3"/>
  <pageSetup scale="50"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C4FF8D5-7732-4C29-A4E7-0C2FDB25B91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Main Table</vt:lpstr>
      <vt:lpstr>Data Preparation</vt:lpstr>
      <vt:lpstr>Dashboard</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Thiaga rajan</dc:creator>
  <cp:lastModifiedBy>Pethal T</cp:lastModifiedBy>
  <dcterms:created xsi:type="dcterms:W3CDTF">2025-07-26T06:43:49Z</dcterms:created>
  <dcterms:modified xsi:type="dcterms:W3CDTF">2025-10-08T01:05:47Z</dcterms:modified>
</cp:coreProperties>
</file>